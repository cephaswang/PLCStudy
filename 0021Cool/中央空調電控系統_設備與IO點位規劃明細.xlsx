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設備清單總覽" sheetId="1" state="visible" r:id="rId3"/>
    <sheet name="I-O點位明細" sheetId="2" state="visible" r:id="rId4"/>
  </sheets>
  <definedNames>
    <definedName function="false" hidden="true" localSheetId="1" name="_xlnm._FilterDatabase" vbProcedure="false">'I-O點位明細'!$A$4:$J$64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<sst xmlns="http://schemas.openxmlformats.org/spreadsheetml/2006/main" count="592" uniqueCount="280">
  <si>
    <r>
      <rPr>
        <b val="true"/>
        <sz val="14"/>
        <rFont val="Noto Sans CJK SC"/>
        <family val="2"/>
      </rPr>
      <t xml:space="preserve">中央空調系統 電控 </t>
    </r>
    <r>
      <rPr>
        <b val="true"/>
        <sz val="14"/>
        <rFont val="Arial"/>
        <family val="0"/>
        <charset val="1"/>
      </rPr>
      <t xml:space="preserve">I/O </t>
    </r>
    <r>
      <rPr>
        <b val="true"/>
        <sz val="14"/>
        <rFont val="Noto Sans CJK SC"/>
        <family val="2"/>
      </rPr>
      <t xml:space="preserve">點位規劃 — 設備清單總覽</t>
    </r>
  </si>
  <si>
    <r>
      <rPr>
        <i val="true"/>
        <sz val="9"/>
        <color rgb="FF666666"/>
        <rFont val="Noto Sans CJK SC"/>
        <family val="2"/>
      </rPr>
      <t xml:space="preserve">依「中央空調系統電控系統規劃企劃書」</t>
    </r>
    <r>
      <rPr>
        <i val="true"/>
        <sz val="9"/>
        <color rgb="FF666666"/>
        <rFont val="Arial"/>
        <family val="0"/>
        <charset val="1"/>
      </rPr>
      <t xml:space="preserve">(0909) </t>
    </r>
    <r>
      <rPr>
        <i val="true"/>
        <sz val="9"/>
        <color rgb="FF666666"/>
        <rFont val="Noto Sans CJK SC"/>
        <family val="2"/>
      </rPr>
      <t xml:space="preserve">展開；實際數量與型號以詳細設計定案為準</t>
    </r>
  </si>
  <si>
    <t xml:space="preserve">設備區域代碼</t>
  </si>
  <si>
    <t xml:space="preserve">設備名稱</t>
  </si>
  <si>
    <t xml:space="preserve">建議數量</t>
  </si>
  <si>
    <t xml:space="preserve">主要功能</t>
  </si>
  <si>
    <t xml:space="preserve">控制方式</t>
  </si>
  <si>
    <t xml:space="preserve">手動模式</t>
  </si>
  <si>
    <t xml:space="preserve">自動模式</t>
  </si>
  <si>
    <t xml:space="preserve">備註</t>
  </si>
  <si>
    <t xml:space="preserve">CH</t>
  </si>
  <si>
    <r>
      <rPr>
        <sz val="10"/>
        <rFont val="Noto Sans CJK SC"/>
        <family val="2"/>
      </rPr>
      <t xml:space="preserve">冰水主機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永磁變頻螺旋水冷滿液式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</si>
  <si>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預留擴充至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</si>
  <si>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製冷主機，機組內建</t>
    </r>
    <r>
      <rPr>
        <sz val="10"/>
        <rFont val="Arial"/>
        <family val="0"/>
        <charset val="1"/>
      </rPr>
      <t xml:space="preserve">PLC/HMI</t>
    </r>
    <r>
      <rPr>
        <sz val="10"/>
        <rFont val="Noto Sans CJK SC"/>
        <family val="2"/>
      </rPr>
      <t xml:space="preserve">自行調節製冷能力</t>
    </r>
  </si>
  <si>
    <r>
      <rPr>
        <sz val="10"/>
        <rFont val="Noto Sans CJK SC"/>
        <family val="2"/>
      </rPr>
      <t xml:space="preserve">機組內建</t>
    </r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自動運轉；現場</t>
    </r>
    <r>
      <rPr>
        <sz val="10"/>
        <rFont val="Arial"/>
        <family val="0"/>
        <charset val="1"/>
      </rPr>
      <t xml:space="preserve">MCC-PLC</t>
    </r>
    <r>
      <rPr>
        <sz val="10"/>
        <rFont val="Noto Sans CJK SC"/>
        <family val="2"/>
      </rPr>
      <t xml:space="preserve">僅下達啟停指令，不介入機組內部迴路</t>
    </r>
  </si>
  <si>
    <r>
      <rPr>
        <sz val="10"/>
        <rFont val="Noto Sans CJK SC"/>
        <family val="2"/>
      </rPr>
      <t xml:space="preserve">機組面板</t>
    </r>
    <r>
      <rPr>
        <sz val="10"/>
        <rFont val="Arial"/>
        <family val="0"/>
        <charset val="1"/>
      </rPr>
      <t xml:space="preserve">HMI</t>
    </r>
    <r>
      <rPr>
        <sz val="10"/>
        <rFont val="Noto Sans CJK SC"/>
        <family val="2"/>
      </rPr>
      <t xml:space="preserve">可切至機側控制（原廠書面同意前不可任意更改內部接線）</t>
    </r>
  </si>
  <si>
    <r>
      <rPr>
        <sz val="10"/>
        <rFont val="Arial"/>
        <family val="0"/>
        <charset val="1"/>
      </rPr>
      <t xml:space="preserve">MCC-PLC</t>
    </r>
    <r>
      <rPr>
        <sz val="10"/>
        <rFont val="Noto Sans CJK SC"/>
        <family val="2"/>
      </rPr>
      <t xml:space="preserve">依連鎖程序遠端啟停；製冷能力調節仍由機組自身</t>
    </r>
    <r>
      <rPr>
        <sz val="10"/>
        <rFont val="Arial"/>
        <family val="0"/>
        <charset val="1"/>
      </rPr>
      <t xml:space="preserve">PLC/</t>
    </r>
    <r>
      <rPr>
        <sz val="10"/>
        <rFont val="Noto Sans CJK SC"/>
        <family val="2"/>
      </rPr>
      <t xml:space="preserve">變頻器控制</t>
    </r>
  </si>
  <si>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故障時可手動切換機械模式運轉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原廠功能</t>
    </r>
    <r>
      <rPr>
        <sz val="10"/>
        <rFont val="Arial"/>
        <family val="0"/>
        <charset val="1"/>
      </rPr>
      <t xml:space="preserve">)</t>
    </r>
  </si>
  <si>
    <t xml:space="preserve">CT</t>
  </si>
  <si>
    <t xml:space="preserve">冷卻水塔風扇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</si>
  <si>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用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備，變頻</t>
    </r>
    <r>
      <rPr>
        <sz val="10"/>
        <rFont val="Arial"/>
        <family val="0"/>
        <charset val="1"/>
      </rPr>
      <t xml:space="preserve">)</t>
    </r>
  </si>
  <si>
    <t xml:space="preserve">冷卻水散熱，依回水溫度變頻調整轉速</t>
  </si>
  <si>
    <r>
      <rPr>
        <sz val="10"/>
        <rFont val="Noto Sans CJK SC"/>
        <family val="2"/>
      </rPr>
      <t xml:space="preserve">現場手動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自動</t>
    </r>
    <r>
      <rPr>
        <sz val="10"/>
        <rFont val="Arial"/>
        <family val="0"/>
        <charset val="1"/>
      </rPr>
      <t xml:space="preserve">(HOA)</t>
    </r>
    <r>
      <rPr>
        <sz val="10"/>
        <rFont val="Noto Sans CJK SC"/>
        <family val="2"/>
      </rPr>
      <t xml:space="preserve">選擇開關 </t>
    </r>
    <r>
      <rPr>
        <sz val="10"/>
        <rFont val="Arial"/>
        <family val="0"/>
        <charset val="1"/>
      </rPr>
      <t xml:space="preserve">+ VFD</t>
    </r>
  </si>
  <si>
    <r>
      <rPr>
        <sz val="10"/>
        <rFont val="Noto Sans CJK SC"/>
        <family val="2"/>
      </rPr>
      <t xml:space="preserve">盤面或</t>
    </r>
    <r>
      <rPr>
        <sz val="10"/>
        <rFont val="Arial"/>
        <family val="0"/>
        <charset val="1"/>
      </rPr>
      <t xml:space="preserve">VFD</t>
    </r>
    <r>
      <rPr>
        <sz val="10"/>
        <rFont val="Noto Sans CJK SC"/>
        <family val="2"/>
      </rPr>
      <t xml:space="preserve">面板手動啟停，不經</t>
    </r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連鎖邏輯（保護連鎖仍需生效）</t>
    </r>
  </si>
  <si>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依冷卻水回水溫度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外氣濕球溫度自動調整頻率，達成節能降頻</t>
    </r>
  </si>
  <si>
    <t xml:space="preserve">水盤液位開關防止空轉或溢流，兩模式皆需連鎖保護</t>
  </si>
  <si>
    <t xml:space="preserve">CHWP</t>
  </si>
  <si>
    <t xml:space="preserve">冰水泵浦</t>
  </si>
  <si>
    <r>
      <rPr>
        <sz val="10"/>
        <rFont val="Noto Sans CJK SC"/>
        <family val="2"/>
      </rPr>
      <t xml:space="preserve">冰水循環輸送至空調末端</t>
    </r>
    <r>
      <rPr>
        <sz val="10"/>
        <rFont val="Arial"/>
        <family val="0"/>
        <charset val="1"/>
      </rPr>
      <t xml:space="preserve">(AHU/FCU)</t>
    </r>
  </si>
  <si>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依定壓差或變流量邏輯自動啟停與調速</t>
    </r>
  </si>
  <si>
    <t xml:space="preserve">冰水流量開關保護，異物過濾器避免堵塞</t>
  </si>
  <si>
    <t xml:space="preserve">CWP</t>
  </si>
  <si>
    <t xml:space="preserve">冷卻水泵浦</t>
  </si>
  <si>
    <t xml:space="preserve">冷卻水循環輸送至冷卻水塔與冷凝器</t>
  </si>
  <si>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依冷凝器負荷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壓差自動啟停與調速</t>
    </r>
  </si>
  <si>
    <t xml:space="preserve">冷卻水流量開關保護，異物過濾器避免堵塞</t>
  </si>
  <si>
    <t xml:space="preserve">MCC</t>
  </si>
  <si>
    <r>
      <rPr>
        <sz val="10"/>
        <rFont val="Noto Sans CJK SC"/>
        <family val="2"/>
      </rPr>
      <t xml:space="preserve">現場控制盤</t>
    </r>
    <r>
      <rPr>
        <sz val="10"/>
        <rFont val="Arial"/>
        <family val="0"/>
        <charset val="1"/>
      </rPr>
      <t xml:space="preserve">(MCC)</t>
    </r>
    <r>
      <rPr>
        <sz val="10"/>
        <rFont val="Noto Sans CJK SC"/>
        <family val="2"/>
      </rPr>
      <t xml:space="preserve">共通點位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</si>
  <si>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面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含</t>
    </r>
    <r>
      <rPr>
        <sz val="10"/>
        <rFont val="Arial"/>
        <family val="0"/>
        <charset val="1"/>
      </rPr>
      <t xml:space="preserve">PLC/HMI/UPS)</t>
    </r>
  </si>
  <si>
    <t xml:space="preserve">彙整各設備狀態、執行連鎖邏輯、台數控制與異常保護</t>
  </si>
  <si>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為核心，盤面設系統啟停鈕與緊急停止鈕</t>
    </r>
  </si>
  <si>
    <t xml:space="preserve">緊急停止、警報測試等盤面按鈕可直接操作</t>
  </si>
  <si>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依排程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溫度回授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上層</t>
    </r>
    <r>
      <rPr>
        <sz val="10"/>
        <rFont val="Arial"/>
        <family val="0"/>
        <charset val="1"/>
      </rPr>
      <t xml:space="preserve">SCADA</t>
    </r>
    <r>
      <rPr>
        <sz val="10"/>
        <rFont val="Noto Sans CJK SC"/>
        <family val="2"/>
      </rPr>
      <t xml:space="preserve">指令執行開機、停機、保護連鎖程序</t>
    </r>
  </si>
  <si>
    <r>
      <rPr>
        <sz val="10"/>
        <rFont val="Arial"/>
        <family val="0"/>
        <charset val="1"/>
      </rPr>
      <t xml:space="preserve">PLC/HMI</t>
    </r>
    <r>
      <rPr>
        <sz val="10"/>
        <rFont val="Noto Sans CJK SC"/>
        <family val="2"/>
      </rPr>
      <t xml:space="preserve">建議加裝</t>
    </r>
    <r>
      <rPr>
        <sz val="10"/>
        <rFont val="Arial"/>
        <family val="0"/>
        <charset val="1"/>
      </rPr>
      <t xml:space="preserve">UPS</t>
    </r>
    <r>
      <rPr>
        <sz val="10"/>
        <rFont val="Noto Sans CJK SC"/>
        <family val="2"/>
      </rPr>
      <t xml:space="preserve">，元件配置預留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以上備用空間</t>
    </r>
  </si>
  <si>
    <t xml:space="preserve">SCADA</t>
  </si>
  <si>
    <r>
      <rPr>
        <sz val="10"/>
        <rFont val="Arial"/>
        <family val="0"/>
        <charset val="1"/>
      </rPr>
      <t xml:space="preserve">SCADA/BAS </t>
    </r>
    <r>
      <rPr>
        <sz val="10"/>
        <rFont val="Noto Sans CJK SC"/>
        <family val="2"/>
      </rPr>
      <t xml:space="preserve">中央監控介接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</si>
  <si>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式</t>
    </r>
  </si>
  <si>
    <t xml:space="preserve">圖形化監視、歷史趨勢、報表、警報通知、遠端監看操作</t>
  </si>
  <si>
    <r>
      <rPr>
        <sz val="10"/>
        <rFont val="Arial"/>
        <family val="0"/>
        <charset val="1"/>
      </rPr>
      <t xml:space="preserve">MODBUS TCP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BACnet IP </t>
    </r>
    <r>
      <rPr>
        <sz val="10"/>
        <rFont val="Noto Sans CJK SC"/>
        <family val="2"/>
      </rPr>
      <t xml:space="preserve">與</t>
    </r>
    <r>
      <rPr>
        <sz val="10"/>
        <rFont val="Arial"/>
        <family val="0"/>
        <charset val="1"/>
      </rPr>
      <t xml:space="preserve">MCC-PLC</t>
    </r>
    <r>
      <rPr>
        <sz val="10"/>
        <rFont val="Noto Sans CJK SC"/>
        <family val="2"/>
      </rPr>
      <t xml:space="preserve">通訊</t>
    </r>
  </si>
  <si>
    <r>
      <rPr>
        <sz val="10"/>
        <rFont val="Noto Sans CJK SC"/>
        <family val="2"/>
      </rPr>
      <t xml:space="preserve">依權限可由</t>
    </r>
    <r>
      <rPr>
        <sz val="10"/>
        <rFont val="Arial"/>
        <family val="0"/>
        <charset val="1"/>
      </rPr>
      <t xml:space="preserve">SCADA</t>
    </r>
    <r>
      <rPr>
        <sz val="10"/>
        <rFont val="Noto Sans CJK SC"/>
        <family val="2"/>
      </rPr>
      <t xml:space="preserve">端下達手動指令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僅監視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可操作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系統管理分權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</si>
  <si>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接收</t>
    </r>
    <r>
      <rPr>
        <sz val="10"/>
        <rFont val="Arial"/>
        <family val="0"/>
        <charset val="1"/>
      </rPr>
      <t xml:space="preserve">MCC-PLC</t>
    </r>
    <r>
      <rPr>
        <sz val="10"/>
        <rFont val="Noto Sans CJK SC"/>
        <family val="2"/>
      </rPr>
      <t xml:space="preserve">上傳資料，記錄趨勢與報表，可選配簡訊</t>
    </r>
    <r>
      <rPr>
        <sz val="10"/>
        <rFont val="Arial"/>
        <family val="0"/>
        <charset val="1"/>
      </rPr>
      <t xml:space="preserve">/E-mail/APP</t>
    </r>
    <r>
      <rPr>
        <sz val="10"/>
        <rFont val="Noto Sans CJK SC"/>
        <family val="2"/>
      </rPr>
      <t xml:space="preserve">推播</t>
    </r>
  </si>
  <si>
    <r>
      <rPr>
        <sz val="10"/>
        <rFont val="Noto Sans CJK SC"/>
        <family val="2"/>
      </rPr>
      <t xml:space="preserve">操作歷程需留存</t>
    </r>
    <r>
      <rPr>
        <sz val="10"/>
        <rFont val="Arial"/>
        <family val="0"/>
        <charset val="1"/>
      </rPr>
      <t xml:space="preserve">Audit Trail</t>
    </r>
  </si>
  <si>
    <r>
      <rPr>
        <b val="true"/>
        <sz val="10"/>
        <rFont val="Noto Sans CJK SC"/>
        <family val="2"/>
      </rPr>
      <t xml:space="preserve">點位數量統計（依 </t>
    </r>
    <r>
      <rPr>
        <b val="true"/>
        <sz val="10"/>
        <rFont val="Arial"/>
        <family val="0"/>
        <charset val="1"/>
      </rPr>
      <t xml:space="preserve">I-O</t>
    </r>
    <r>
      <rPr>
        <b val="true"/>
        <sz val="10"/>
        <rFont val="Noto Sans CJK SC"/>
        <family val="2"/>
      </rPr>
      <t xml:space="preserve">點位明細 分頁自動加總）</t>
    </r>
  </si>
  <si>
    <t xml:space="preserve">DI</t>
  </si>
  <si>
    <t xml:space="preserve">DO</t>
  </si>
  <si>
    <t xml:space="preserve">AI</t>
  </si>
  <si>
    <t xml:space="preserve">AO</t>
  </si>
  <si>
    <t xml:space="preserve">通訊</t>
  </si>
  <si>
    <t xml:space="preserve">合計</t>
  </si>
  <si>
    <t xml:space="preserve">總計</t>
  </si>
  <si>
    <r>
      <rPr>
        <b val="true"/>
        <sz val="14"/>
        <rFont val="Noto Sans CJK SC"/>
        <family val="2"/>
      </rPr>
      <t xml:space="preserve">中央空調系統 電控 </t>
    </r>
    <r>
      <rPr>
        <b val="true"/>
        <sz val="14"/>
        <rFont val="Arial"/>
        <family val="0"/>
        <charset val="1"/>
      </rPr>
      <t xml:space="preserve">I/O </t>
    </r>
    <r>
      <rPr>
        <b val="true"/>
        <sz val="14"/>
        <rFont val="Noto Sans CJK SC"/>
        <family val="2"/>
      </rPr>
      <t xml:space="preserve">點位規劃明細表</t>
    </r>
  </si>
  <si>
    <r>
      <rPr>
        <i val="true"/>
        <sz val="9"/>
        <color rgb="FF666666"/>
        <rFont val="Noto Sans CJK SC"/>
        <family val="2"/>
      </rPr>
      <t xml:space="preserve">＊點位編號、數量為範例規劃，實際點數應依最終設備數量、感測器配置與</t>
    </r>
    <r>
      <rPr>
        <i val="true"/>
        <sz val="9"/>
        <color rgb="FF666666"/>
        <rFont val="Arial"/>
        <family val="0"/>
        <charset val="1"/>
      </rPr>
      <t xml:space="preserve">SCADA</t>
    </r>
    <r>
      <rPr>
        <i val="true"/>
        <sz val="9"/>
        <color rgb="FF666666"/>
        <rFont val="Noto Sans CJK SC"/>
        <family val="2"/>
      </rPr>
      <t xml:space="preserve">需求於詳細設計階段確認定案</t>
    </r>
  </si>
  <si>
    <t xml:space="preserve">序號</t>
  </si>
  <si>
    <t xml:space="preserve">點位編號</t>
  </si>
  <si>
    <r>
      <rPr>
        <b val="true"/>
        <sz val="10"/>
        <color rgb="FFFFFFFF"/>
        <rFont val="Arial"/>
        <family val="0"/>
        <charset val="1"/>
      </rPr>
      <t xml:space="preserve">I/O</t>
    </r>
    <r>
      <rPr>
        <b val="true"/>
        <sz val="10"/>
        <color rgb="FFFFFFFF"/>
        <rFont val="Noto Sans CJK SC"/>
        <family val="2"/>
      </rPr>
      <t xml:space="preserve">類型</t>
    </r>
  </si>
  <si>
    <t xml:space="preserve">點位名稱</t>
  </si>
  <si>
    <t xml:space="preserve">訊號型式</t>
  </si>
  <si>
    <r>
      <rPr>
        <b val="true"/>
        <sz val="10"/>
        <color rgb="FFFFFFFF"/>
        <rFont val="Noto Sans CJK SC"/>
        <family val="2"/>
      </rPr>
      <t xml:space="preserve">訊號來源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去向</t>
    </r>
  </si>
  <si>
    <t xml:space="preserve">手動模式支援</t>
  </si>
  <si>
    <t xml:space="preserve">自動模式支援</t>
  </si>
  <si>
    <t xml:space="preserve">CH1-DI-01</t>
  </si>
  <si>
    <t xml:space="preserve">運轉狀態回授</t>
  </si>
  <si>
    <t xml:space="preserve">無電位接點</t>
  </si>
  <si>
    <t xml:space="preserve">主機內建控制箱</t>
  </si>
  <si>
    <r>
      <rPr>
        <sz val="10"/>
        <rFont val="Noto Sans CJK SC"/>
        <family val="2"/>
      </rPr>
      <t xml:space="preserve">機組面板</t>
    </r>
    <r>
      <rPr>
        <sz val="10"/>
        <rFont val="Arial"/>
        <family val="0"/>
        <charset val="1"/>
      </rPr>
      <t xml:space="preserve">HMI</t>
    </r>
    <r>
      <rPr>
        <sz val="10"/>
        <rFont val="Noto Sans CJK SC"/>
        <family val="2"/>
      </rPr>
      <t xml:space="preserve">可監視</t>
    </r>
  </si>
  <si>
    <r>
      <rPr>
        <sz val="10"/>
        <rFont val="Arial"/>
        <family val="0"/>
        <charset val="1"/>
      </rPr>
      <t xml:space="preserve">MCC-PLC</t>
    </r>
    <r>
      <rPr>
        <sz val="10"/>
        <rFont val="Noto Sans CJK SC"/>
        <family val="2"/>
      </rPr>
      <t xml:space="preserve">監視，不介入控制</t>
    </r>
  </si>
  <si>
    <t xml:space="preserve">僅監視用途</t>
  </si>
  <si>
    <t xml:space="preserve">CH1-DI-02</t>
  </si>
  <si>
    <r>
      <rPr>
        <sz val="10"/>
        <rFont val="Noto Sans CJK SC"/>
        <family val="2"/>
      </rPr>
      <t xml:space="preserve">故障警報接點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綜合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</si>
  <si>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機組面板</t>
    </r>
    <r>
      <rPr>
        <sz val="10"/>
        <rFont val="Arial"/>
        <family val="0"/>
        <charset val="1"/>
      </rPr>
      <t xml:space="preserve">HMI</t>
    </r>
    <r>
      <rPr>
        <sz val="10"/>
        <rFont val="Noto Sans CJK SC"/>
        <family val="2"/>
      </rPr>
      <t xml:space="preserve">顯示故障碼</t>
    </r>
  </si>
  <si>
    <r>
      <rPr>
        <sz val="10"/>
        <rFont val="Arial"/>
        <family val="0"/>
        <charset val="1"/>
      </rPr>
      <t xml:space="preserve">MCC-PLC</t>
    </r>
    <r>
      <rPr>
        <sz val="10"/>
        <rFont val="Noto Sans CJK SC"/>
        <family val="2"/>
      </rPr>
      <t xml:space="preserve">監視並觸發連鎖停機</t>
    </r>
  </si>
  <si>
    <r>
      <rPr>
        <sz val="10"/>
        <rFont val="Noto Sans CJK SC"/>
        <family val="2"/>
      </rPr>
      <t xml:space="preserve">含高低壓、防凍、欠相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逆相、過載等綜合故障</t>
    </r>
  </si>
  <si>
    <t xml:space="preserve">CH1-DI-03</t>
  </si>
  <si>
    <r>
      <rPr>
        <sz val="10"/>
        <rFont val="Noto Sans CJK SC"/>
        <family val="2"/>
      </rPr>
      <t xml:space="preserve">機側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遠端控制模式回授</t>
    </r>
  </si>
  <si>
    <t xml:space="preserve">機側控制：僅可由機組面板操作</t>
  </si>
  <si>
    <r>
      <rPr>
        <sz val="10"/>
        <rFont val="Noto Sans CJK SC"/>
        <family val="2"/>
      </rPr>
      <t xml:space="preserve">遠端模式：允許</t>
    </r>
    <r>
      <rPr>
        <sz val="10"/>
        <rFont val="Arial"/>
        <family val="0"/>
        <charset val="1"/>
      </rPr>
      <t xml:space="preserve">MCC-PLC</t>
    </r>
    <r>
      <rPr>
        <sz val="10"/>
        <rFont val="Noto Sans CJK SC"/>
        <family val="2"/>
      </rPr>
      <t xml:space="preserve">下達啟停指令</t>
    </r>
  </si>
  <si>
    <t xml:space="preserve">原廠設定，未經書面同意不得更改機組內部接線</t>
  </si>
  <si>
    <t xml:space="preserve">CH1-DO-01</t>
  </si>
  <si>
    <r>
      <rPr>
        <sz val="10"/>
        <rFont val="Noto Sans CJK SC"/>
        <family val="2"/>
      </rPr>
      <t xml:space="preserve">遠端啟動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停止指令</t>
    </r>
  </si>
  <si>
    <r>
      <rPr>
        <sz val="10"/>
        <rFont val="Arial"/>
        <family val="0"/>
        <charset val="1"/>
      </rPr>
      <t xml:space="preserve">24VDC</t>
    </r>
    <r>
      <rPr>
        <sz val="10"/>
        <rFont val="Noto Sans CJK SC"/>
        <family val="2"/>
      </rPr>
      <t xml:space="preserve">接點或</t>
    </r>
    <r>
      <rPr>
        <sz val="10"/>
        <rFont val="Arial"/>
        <family val="0"/>
        <charset val="1"/>
      </rPr>
      <t xml:space="preserve">Modbus</t>
    </r>
  </si>
  <si>
    <r>
      <rPr>
        <sz val="10"/>
        <rFont val="Arial"/>
        <family val="0"/>
        <charset val="1"/>
      </rPr>
      <t xml:space="preserve">MCC</t>
    </r>
    <r>
      <rPr>
        <sz val="10"/>
        <rFont val="Noto Sans CJK SC"/>
        <family val="2"/>
      </rPr>
      <t xml:space="preserve">盤面手動啟停鈕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限機組處於遠端模式時有效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</si>
  <si>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MCC-PLC</t>
    </r>
    <r>
      <rPr>
        <sz val="10"/>
        <rFont val="Noto Sans CJK SC"/>
        <family val="2"/>
      </rPr>
      <t xml:space="preserve">依開機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停機程序自動下達</t>
    </r>
  </si>
  <si>
    <t xml:space="preserve">機組以變頻軟啟動方式運轉</t>
  </si>
  <si>
    <t xml:space="preserve">CH1-AI-01</t>
  </si>
  <si>
    <t xml:space="preserve">冰水出水溫度</t>
  </si>
  <si>
    <r>
      <rPr>
        <sz val="10"/>
        <rFont val="Arial"/>
        <family val="0"/>
        <charset val="1"/>
      </rPr>
      <t xml:space="preserve">Modbus(</t>
    </r>
    <r>
      <rPr>
        <sz val="10"/>
        <rFont val="Noto Sans CJK SC"/>
        <family val="2"/>
      </rPr>
      <t xml:space="preserve">經通訊讀取</t>
    </r>
    <r>
      <rPr>
        <sz val="10"/>
        <rFont val="Arial"/>
        <family val="0"/>
        <charset val="1"/>
      </rPr>
      <t xml:space="preserve">)</t>
    </r>
  </si>
  <si>
    <t xml:space="preserve">主機內建感測器</t>
  </si>
  <si>
    <t xml:space="preserve">監視</t>
  </si>
  <si>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僅讀取，不下達溫度控制迴路</t>
    </r>
  </si>
  <si>
    <t xml:space="preserve">CH1-AI-02</t>
  </si>
  <si>
    <t xml:space="preserve">冰水入水溫度</t>
  </si>
  <si>
    <t xml:space="preserve">CH1-AI-03</t>
  </si>
  <si>
    <r>
      <rPr>
        <sz val="10"/>
        <rFont val="Noto Sans CJK SC"/>
        <family val="2"/>
      </rPr>
      <t xml:space="preserve">冷凝器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冷卻水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出水溫度</t>
    </r>
  </si>
  <si>
    <t xml:space="preserve">CH1-AI-04</t>
  </si>
  <si>
    <r>
      <rPr>
        <sz val="10"/>
        <rFont val="Noto Sans CJK SC"/>
        <family val="2"/>
      </rPr>
      <t xml:space="preserve">冷凝器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冷卻水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入水溫度</t>
    </r>
  </si>
  <si>
    <t xml:space="preserve">CH1-AI-05</t>
  </si>
  <si>
    <r>
      <rPr>
        <sz val="10"/>
        <rFont val="Noto Sans CJK SC"/>
        <family val="2"/>
      </rPr>
      <t xml:space="preserve">冷媒高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低壓值</t>
    </r>
  </si>
  <si>
    <t xml:space="preserve">供高低壓保護狀態判讀</t>
  </si>
  <si>
    <t xml:space="preserve">CH1-AI-06</t>
  </si>
  <si>
    <r>
      <rPr>
        <sz val="10"/>
        <rFont val="Noto Sans CJK SC"/>
        <family val="2"/>
      </rPr>
      <t xml:space="preserve">壓縮機運轉電流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負載率</t>
    </r>
  </si>
  <si>
    <r>
      <rPr>
        <sz val="10"/>
        <rFont val="Noto Sans CJK SC"/>
        <family val="2"/>
      </rPr>
      <t xml:space="preserve">供</t>
    </r>
    <r>
      <rPr>
        <sz val="10"/>
        <rFont val="Arial"/>
        <family val="0"/>
        <charset val="1"/>
      </rPr>
      <t xml:space="preserve">COP</t>
    </r>
    <r>
      <rPr>
        <sz val="10"/>
        <rFont val="Noto Sans CJK SC"/>
        <family val="2"/>
      </rPr>
      <t xml:space="preserve">估算與節能分析</t>
    </r>
  </si>
  <si>
    <t xml:space="preserve">CH1-COM-01</t>
  </si>
  <si>
    <r>
      <rPr>
        <sz val="10"/>
        <rFont val="Noto Sans CJK SC"/>
        <family val="2"/>
      </rPr>
      <t xml:space="preserve">主機</t>
    </r>
    <r>
      <rPr>
        <sz val="10"/>
        <rFont val="Arial"/>
        <family val="0"/>
        <charset val="1"/>
      </rPr>
      <t xml:space="preserve">PLC/HMI</t>
    </r>
    <r>
      <rPr>
        <sz val="10"/>
        <rFont val="Noto Sans CJK SC"/>
        <family val="2"/>
      </rPr>
      <t xml:space="preserve">資料整合</t>
    </r>
  </si>
  <si>
    <t xml:space="preserve">RS-485 MODBUS RTU</t>
  </si>
  <si>
    <r>
      <rPr>
        <sz val="10"/>
        <rFont val="Noto Sans CJK SC"/>
        <family val="2"/>
      </rPr>
      <t xml:space="preserve">主機內建通訊模組↔</t>
    </r>
    <r>
      <rPr>
        <sz val="10"/>
        <rFont val="Arial"/>
        <family val="0"/>
        <charset val="1"/>
      </rPr>
      <t xml:space="preserve">MCC-PLC</t>
    </r>
  </si>
  <si>
    <t xml:space="preserve">N/A</t>
  </si>
  <si>
    <r>
      <rPr>
        <sz val="10"/>
        <rFont val="Noto Sans CJK SC"/>
        <family val="2"/>
      </rPr>
      <t xml:space="preserve">自動讀取全部狀態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溫度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壓力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故障碼</t>
    </r>
  </si>
  <si>
    <r>
      <rPr>
        <sz val="10"/>
        <rFont val="Noto Sans CJK SC"/>
        <family val="2"/>
      </rPr>
      <t xml:space="preserve">選配</t>
    </r>
    <r>
      <rPr>
        <sz val="10"/>
        <rFont val="Arial"/>
        <family val="0"/>
        <charset val="1"/>
      </rPr>
      <t xml:space="preserve">MODBUS</t>
    </r>
    <r>
      <rPr>
        <sz val="10"/>
        <rFont val="Noto Sans CJK SC"/>
        <family val="2"/>
      </rPr>
      <t xml:space="preserve">通訊模組後啟用</t>
    </r>
  </si>
  <si>
    <t xml:space="preserve">CT1-DI-01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</si>
  <si>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 </t>
    </r>
    <r>
      <rPr>
        <sz val="10"/>
        <rFont val="Noto Sans CJK SC"/>
        <family val="2"/>
      </rPr>
      <t xml:space="preserve">手動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自動選擇開關位置</t>
    </r>
  </si>
  <si>
    <r>
      <rPr>
        <sz val="10"/>
        <rFont val="Noto Sans CJK SC"/>
        <family val="2"/>
      </rPr>
      <t xml:space="preserve">盤面</t>
    </r>
    <r>
      <rPr>
        <sz val="10"/>
        <rFont val="Arial"/>
        <family val="0"/>
        <charset val="1"/>
      </rPr>
      <t xml:space="preserve">HOA</t>
    </r>
    <r>
      <rPr>
        <sz val="10"/>
        <rFont val="Noto Sans CJK SC"/>
        <family val="2"/>
      </rPr>
      <t xml:space="preserve">選擇開關</t>
    </r>
  </si>
  <si>
    <r>
      <rPr>
        <sz val="10"/>
        <rFont val="Noto Sans CJK SC"/>
        <family val="2"/>
      </rPr>
      <t xml:space="preserve">現場手動直接啟停，不經</t>
    </r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連鎖邏輯</t>
    </r>
  </si>
  <si>
    <r>
      <rPr>
        <sz val="10"/>
        <rFont val="Arial"/>
        <family val="0"/>
        <charset val="1"/>
      </rPr>
      <t xml:space="preserve">MCC-PLC</t>
    </r>
    <r>
      <rPr>
        <sz val="10"/>
        <rFont val="Noto Sans CJK SC"/>
        <family val="2"/>
      </rPr>
      <t xml:space="preserve">自動控制</t>
    </r>
  </si>
  <si>
    <t xml:space="preserve">CT1-DI-02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</si>
  <si>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 </t>
    </r>
    <r>
      <rPr>
        <sz val="10"/>
        <rFont val="Noto Sans CJK SC"/>
        <family val="2"/>
      </rPr>
      <t xml:space="preserve">運轉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故障回授</t>
    </r>
  </si>
  <si>
    <r>
      <rPr>
        <sz val="10"/>
        <rFont val="Noto Sans CJK SC"/>
        <family val="2"/>
      </rPr>
      <t xml:space="preserve">風扇啟動器</t>
    </r>
    <r>
      <rPr>
        <sz val="10"/>
        <rFont val="Arial"/>
        <family val="0"/>
        <charset val="1"/>
      </rPr>
      <t xml:space="preserve">/VFD</t>
    </r>
  </si>
  <si>
    <t xml:space="preserve">兩模式皆回授</t>
  </si>
  <si>
    <t xml:space="preserve">CT1-DO-01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</si>
  <si>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 </t>
    </r>
    <r>
      <rPr>
        <sz val="10"/>
        <rFont val="Noto Sans CJK SC"/>
        <family val="2"/>
      </rPr>
      <t xml:space="preserve">啟動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停止指令</t>
    </r>
  </si>
  <si>
    <r>
      <rPr>
        <sz val="10"/>
        <rFont val="Arial"/>
        <family val="0"/>
        <charset val="1"/>
      </rPr>
      <t xml:space="preserve">24VDC</t>
    </r>
    <r>
      <rPr>
        <sz val="10"/>
        <rFont val="Noto Sans CJK SC"/>
        <family val="2"/>
      </rPr>
      <t xml:space="preserve">接點輸出</t>
    </r>
  </si>
  <si>
    <r>
      <rPr>
        <sz val="10"/>
        <rFont val="Noto Sans CJK SC"/>
        <family val="2"/>
      </rPr>
      <t xml:space="preserve">無效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手動模式下由現場按鈕直接控制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</si>
  <si>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依連鎖程序下達</t>
    </r>
  </si>
  <si>
    <t xml:space="preserve">CT1-AI-01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</si>
  <si>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頻率回授</t>
    </r>
  </si>
  <si>
    <r>
      <rPr>
        <sz val="10"/>
        <rFont val="Arial"/>
        <family val="0"/>
        <charset val="1"/>
      </rPr>
      <t xml:space="preserve">4-20mA</t>
    </r>
    <r>
      <rPr>
        <sz val="10"/>
        <rFont val="Noto Sans CJK SC"/>
        <family val="2"/>
      </rPr>
      <t xml:space="preserve">或</t>
    </r>
    <r>
      <rPr>
        <sz val="10"/>
        <rFont val="Arial"/>
        <family val="0"/>
        <charset val="1"/>
      </rPr>
      <t xml:space="preserve">Modbus</t>
    </r>
  </si>
  <si>
    <t xml:space="preserve">變頻器</t>
  </si>
  <si>
    <t xml:space="preserve">CT1-AI-02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</si>
  <si>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電流回授</t>
    </r>
  </si>
  <si>
    <t xml:space="preserve">CT1-AO-01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</si>
  <si>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頻率指令</t>
    </r>
  </si>
  <si>
    <r>
      <rPr>
        <sz val="10"/>
        <rFont val="Arial"/>
        <family val="0"/>
        <charset val="1"/>
      </rPr>
      <t xml:space="preserve">MCC-PLC→</t>
    </r>
    <r>
      <rPr>
        <sz val="10"/>
        <rFont val="Noto Sans CJK SC"/>
        <family val="2"/>
      </rPr>
      <t xml:space="preserve">變頻器</t>
    </r>
  </si>
  <si>
    <r>
      <rPr>
        <sz val="10"/>
        <rFont val="Noto Sans CJK SC"/>
        <family val="2"/>
      </rPr>
      <t xml:space="preserve">無效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手動模式由</t>
    </r>
    <r>
      <rPr>
        <sz val="10"/>
        <rFont val="Arial"/>
        <family val="0"/>
        <charset val="1"/>
      </rPr>
      <t xml:space="preserve">VFD</t>
    </r>
    <r>
      <rPr>
        <sz val="10"/>
        <rFont val="Noto Sans CJK SC"/>
        <family val="2"/>
      </rPr>
      <t xml:space="preserve">面板或盤面旋鈕設定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</si>
  <si>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依冷卻水回水溫度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濕球溫度自動運算輸出</t>
    </r>
  </si>
  <si>
    <t xml:space="preserve">低負載或低濕球溫度時降頻節能</t>
  </si>
  <si>
    <t xml:space="preserve">CT2-DI-01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</si>
  <si>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 </t>
    </r>
    <r>
      <rPr>
        <sz val="10"/>
        <rFont val="Noto Sans CJK SC"/>
        <family val="2"/>
      </rPr>
      <t xml:space="preserve">手動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自動選擇開關位置</t>
    </r>
  </si>
  <si>
    <t xml:space="preserve">CT2-DI-02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</si>
  <si>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 </t>
    </r>
    <r>
      <rPr>
        <sz val="10"/>
        <rFont val="Noto Sans CJK SC"/>
        <family val="2"/>
      </rPr>
      <t xml:space="preserve">運轉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故障回授</t>
    </r>
  </si>
  <si>
    <t xml:space="preserve">CT2-DO-01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</si>
  <si>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 </t>
    </r>
    <r>
      <rPr>
        <sz val="10"/>
        <rFont val="Noto Sans CJK SC"/>
        <family val="2"/>
      </rPr>
      <t xml:space="preserve">啟動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停止指令</t>
    </r>
  </si>
  <si>
    <t xml:space="preserve">CT2-AI-01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</si>
  <si>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頻率回授</t>
    </r>
  </si>
  <si>
    <t xml:space="preserve">CT2-AI-02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</si>
  <si>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電流回授</t>
    </r>
  </si>
  <si>
    <t xml:space="preserve">CT2-AO-01</t>
  </si>
  <si>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頻率指令</t>
    </r>
  </si>
  <si>
    <t xml:space="preserve">CT-DI-91</t>
  </si>
  <si>
    <r>
      <rPr>
        <sz val="10"/>
        <rFont val="Noto Sans CJK SC"/>
        <family val="2"/>
      </rPr>
      <t xml:space="preserve">冷卻水塔水盤液位開關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低</t>
    </r>
    <r>
      <rPr>
        <sz val="10"/>
        <rFont val="Arial"/>
        <family val="0"/>
        <charset val="1"/>
      </rPr>
      <t xml:space="preserve">)</t>
    </r>
  </si>
  <si>
    <t xml:space="preserve">水塔水盤液位開關</t>
  </si>
  <si>
    <t xml:space="preserve">兩模式皆連鎖生效</t>
  </si>
  <si>
    <t xml:space="preserve">防止空轉或溢流，保護連鎖不因操作模式而失效</t>
  </si>
  <si>
    <t xml:space="preserve">CHWP1-DI-01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</si>
  <si>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 </t>
    </r>
    <r>
      <rPr>
        <sz val="10"/>
        <rFont val="Noto Sans CJK SC"/>
        <family val="2"/>
      </rPr>
      <t xml:space="preserve">手動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自動選擇開關位置</t>
    </r>
  </si>
  <si>
    <t xml:space="preserve">CHWP1-DI-02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</si>
  <si>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 </t>
    </r>
    <r>
      <rPr>
        <sz val="10"/>
        <rFont val="Noto Sans CJK SC"/>
        <family val="2"/>
      </rPr>
      <t xml:space="preserve">運轉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故障回授</t>
    </r>
  </si>
  <si>
    <r>
      <rPr>
        <sz val="10"/>
        <rFont val="Noto Sans CJK SC"/>
        <family val="2"/>
      </rPr>
      <t xml:space="preserve">馬達啟動器</t>
    </r>
    <r>
      <rPr>
        <sz val="10"/>
        <rFont val="Arial"/>
        <family val="0"/>
        <charset val="1"/>
      </rPr>
      <t xml:space="preserve">/VFD</t>
    </r>
  </si>
  <si>
    <t xml:space="preserve">CHWP1-DO-01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</si>
  <si>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 </t>
    </r>
    <r>
      <rPr>
        <sz val="10"/>
        <rFont val="Noto Sans CJK SC"/>
        <family val="2"/>
      </rPr>
      <t xml:space="preserve">啟動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停止指令</t>
    </r>
  </si>
  <si>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依開機程序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延時啟動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自動下達</t>
    </r>
  </si>
  <si>
    <r>
      <rPr>
        <sz val="10"/>
        <rFont val="Noto Sans CJK SC"/>
        <family val="2"/>
      </rPr>
      <t xml:space="preserve">冷卻水流量確認</t>
    </r>
    <r>
      <rPr>
        <sz val="10"/>
        <rFont val="Arial"/>
        <family val="0"/>
        <charset val="1"/>
      </rPr>
      <t xml:space="preserve">ON</t>
    </r>
    <r>
      <rPr>
        <sz val="10"/>
        <rFont val="Noto Sans CJK SC"/>
        <family val="2"/>
      </rPr>
      <t xml:space="preserve">後延時</t>
    </r>
    <r>
      <rPr>
        <sz val="10"/>
        <rFont val="Arial"/>
        <family val="0"/>
        <charset val="1"/>
      </rPr>
      <t xml:space="preserve">10~30</t>
    </r>
    <r>
      <rPr>
        <sz val="10"/>
        <rFont val="Noto Sans CJK SC"/>
        <family val="2"/>
      </rPr>
      <t xml:space="preserve">秒啟動</t>
    </r>
  </si>
  <si>
    <t xml:space="preserve">CHWP1-AI-01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</si>
  <si>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頻率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電流回授</t>
    </r>
  </si>
  <si>
    <t xml:space="preserve">CHWP1-AI-02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</si>
  <si>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 </t>
    </r>
    <r>
      <rPr>
        <sz val="10"/>
        <rFont val="Noto Sans CJK SC"/>
        <family val="2"/>
      </rPr>
      <t xml:space="preserve">出口壓力</t>
    </r>
  </si>
  <si>
    <t xml:space="preserve">4-20mA</t>
  </si>
  <si>
    <t xml:space="preserve">壓力傳訊器</t>
  </si>
  <si>
    <t xml:space="preserve">CHWP1-AO-01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</si>
  <si>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頻率指令</t>
    </r>
  </si>
  <si>
    <r>
      <rPr>
        <sz val="10"/>
        <rFont val="Noto Sans CJK SC"/>
        <family val="2"/>
      </rPr>
      <t xml:space="preserve">無效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手動模式由</t>
    </r>
    <r>
      <rPr>
        <sz val="10"/>
        <rFont val="Arial"/>
        <family val="0"/>
        <charset val="1"/>
      </rPr>
      <t xml:space="preserve">VFD</t>
    </r>
    <r>
      <rPr>
        <sz val="10"/>
        <rFont val="Noto Sans CJK SC"/>
        <family val="2"/>
      </rPr>
      <t xml:space="preserve">面板設定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</si>
  <si>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依定壓差或變流量邏輯自動運算輸出</t>
    </r>
  </si>
  <si>
    <t xml:space="preserve">部分負載時降低泵浦耗電</t>
  </si>
  <si>
    <t xml:space="preserve">CHWP2-DI-01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</si>
  <si>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 </t>
    </r>
    <r>
      <rPr>
        <sz val="10"/>
        <rFont val="Noto Sans CJK SC"/>
        <family val="2"/>
      </rPr>
      <t xml:space="preserve">手動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自動選擇開關位置</t>
    </r>
  </si>
  <si>
    <t xml:space="preserve">CHWP2-DI-02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</si>
  <si>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 </t>
    </r>
    <r>
      <rPr>
        <sz val="10"/>
        <rFont val="Noto Sans CJK SC"/>
        <family val="2"/>
      </rPr>
      <t xml:space="preserve">運轉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故障回授</t>
    </r>
  </si>
  <si>
    <t xml:space="preserve">CHWP2-DO-01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</si>
  <si>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 </t>
    </r>
    <r>
      <rPr>
        <sz val="10"/>
        <rFont val="Noto Sans CJK SC"/>
        <family val="2"/>
      </rPr>
      <t xml:space="preserve">啟動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停止指令</t>
    </r>
  </si>
  <si>
    <t xml:space="preserve">CHWP2-AI-01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</si>
  <si>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頻率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電流回授</t>
    </r>
  </si>
  <si>
    <t xml:space="preserve">CHWP2-AI-02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</si>
  <si>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 </t>
    </r>
    <r>
      <rPr>
        <sz val="10"/>
        <rFont val="Noto Sans CJK SC"/>
        <family val="2"/>
      </rPr>
      <t xml:space="preserve">出口壓力</t>
    </r>
  </si>
  <si>
    <t xml:space="preserve">CHWP2-AO-01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</si>
  <si>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頻率指令</t>
    </r>
  </si>
  <si>
    <t xml:space="preserve">CHWP-DI-91</t>
  </si>
  <si>
    <t xml:space="preserve">冰水流量開關</t>
  </si>
  <si>
    <t xml:space="preserve">管路流量開關</t>
  </si>
  <si>
    <t xml:space="preserve">斷訊時立即連鎖停機並發出警報</t>
  </si>
  <si>
    <t xml:space="preserve">CWP1-DI-01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</si>
  <si>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 </t>
    </r>
    <r>
      <rPr>
        <sz val="10"/>
        <rFont val="Noto Sans CJK SC"/>
        <family val="2"/>
      </rPr>
      <t xml:space="preserve">手動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自動選擇開關位置</t>
    </r>
  </si>
  <si>
    <t xml:space="preserve">CWP1-DI-02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</si>
  <si>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 </t>
    </r>
    <r>
      <rPr>
        <sz val="10"/>
        <rFont val="Noto Sans CJK SC"/>
        <family val="2"/>
      </rPr>
      <t xml:space="preserve">運轉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故障回授</t>
    </r>
  </si>
  <si>
    <t xml:space="preserve">CWP1-DO-01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</si>
  <si>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 </t>
    </r>
    <r>
      <rPr>
        <sz val="10"/>
        <rFont val="Noto Sans CJK SC"/>
        <family val="2"/>
      </rPr>
      <t xml:space="preserve">啟動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停止指令</t>
    </r>
  </si>
  <si>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於開機程序第一步即自動下達</t>
    </r>
  </si>
  <si>
    <t xml:space="preserve">與冷卻水塔風扇同步啟動，建立冷卻水循環</t>
  </si>
  <si>
    <t xml:space="preserve">CWP1-AI-01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</si>
  <si>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頻率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電流回授</t>
    </r>
  </si>
  <si>
    <t xml:space="preserve">CWP1-AI-02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</si>
  <si>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 </t>
    </r>
    <r>
      <rPr>
        <sz val="10"/>
        <rFont val="Noto Sans CJK SC"/>
        <family val="2"/>
      </rPr>
      <t xml:space="preserve">出口壓力</t>
    </r>
  </si>
  <si>
    <t xml:space="preserve">CWP1-AO-01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</si>
  <si>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#1 VFD</t>
    </r>
    <r>
      <rPr>
        <sz val="10"/>
        <rFont val="Noto Sans CJK SC"/>
        <family val="2"/>
      </rPr>
      <t xml:space="preserve">頻率指令</t>
    </r>
  </si>
  <si>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依冷凝器負荷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壓差自動運算輸出</t>
    </r>
  </si>
  <si>
    <t xml:space="preserve">CWP2-DI-01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</si>
  <si>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 </t>
    </r>
    <r>
      <rPr>
        <sz val="10"/>
        <rFont val="Noto Sans CJK SC"/>
        <family val="2"/>
      </rPr>
      <t xml:space="preserve">手動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自動選擇開關位置</t>
    </r>
  </si>
  <si>
    <t xml:space="preserve">CWP2-DI-02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</si>
  <si>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 </t>
    </r>
    <r>
      <rPr>
        <sz val="10"/>
        <rFont val="Noto Sans CJK SC"/>
        <family val="2"/>
      </rPr>
      <t xml:space="preserve">運轉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故障回授</t>
    </r>
  </si>
  <si>
    <t xml:space="preserve">CWP2-DO-01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</si>
  <si>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 </t>
    </r>
    <r>
      <rPr>
        <sz val="10"/>
        <rFont val="Noto Sans CJK SC"/>
        <family val="2"/>
      </rPr>
      <t xml:space="preserve">啟動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停止指令</t>
    </r>
  </si>
  <si>
    <t xml:space="preserve">CWP2-AI-01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</si>
  <si>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頻率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電流回授</t>
    </r>
  </si>
  <si>
    <t xml:space="preserve">CWP2-AI-02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</si>
  <si>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 </t>
    </r>
    <r>
      <rPr>
        <sz val="10"/>
        <rFont val="Noto Sans CJK SC"/>
        <family val="2"/>
      </rPr>
      <t xml:space="preserve">出口壓力</t>
    </r>
  </si>
  <si>
    <t xml:space="preserve">CWP2-AO-01</t>
  </si>
  <si>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#2 VFD</t>
    </r>
    <r>
      <rPr>
        <sz val="10"/>
        <rFont val="Noto Sans CJK SC"/>
        <family val="2"/>
      </rPr>
      <t xml:space="preserve">頻率指令</t>
    </r>
  </si>
  <si>
    <t xml:space="preserve">CWP-DI-91</t>
  </si>
  <si>
    <t xml:space="preserve">冷卻水流量開關</t>
  </si>
  <si>
    <t xml:space="preserve">MCC-DI-01</t>
  </si>
  <si>
    <t xml:space="preserve">緊急停止按鈕</t>
  </si>
  <si>
    <r>
      <rPr>
        <sz val="10"/>
        <rFont val="Noto Sans CJK SC"/>
        <family val="2"/>
      </rPr>
      <t xml:space="preserve">無電位接點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常閉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</si>
  <si>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盤面</t>
    </r>
    <r>
      <rPr>
        <sz val="10"/>
        <rFont val="Arial"/>
        <family val="0"/>
        <charset val="1"/>
      </rPr>
      <t xml:space="preserve">E-STOP</t>
    </r>
    <r>
      <rPr>
        <sz val="10"/>
        <rFont val="Noto Sans CJK SC"/>
        <family val="2"/>
      </rPr>
      <t xml:space="preserve">按鈕</t>
    </r>
  </si>
  <si>
    <t xml:space="preserve">任何模式下按下立即生效</t>
  </si>
  <si>
    <t xml:space="preserve">最高優先連鎖，直接切斷相關輸出</t>
  </si>
  <si>
    <t xml:space="preserve">MCC-DI-02</t>
  </si>
  <si>
    <r>
      <rPr>
        <sz val="10"/>
        <rFont val="Noto Sans CJK SC"/>
        <family val="2"/>
      </rPr>
      <t xml:space="preserve">系統總電源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相序監視</t>
    </r>
  </si>
  <si>
    <t xml:space="preserve">無電位接點或電力監視模組</t>
  </si>
  <si>
    <t xml:space="preserve">盤內電力監視器</t>
  </si>
  <si>
    <t xml:space="preserve">停電復電後依預設延時程序處理</t>
  </si>
  <si>
    <t xml:space="preserve">MCC-DI-03</t>
  </si>
  <si>
    <r>
      <rPr>
        <sz val="10"/>
        <rFont val="Noto Sans CJK SC"/>
        <family val="2"/>
      </rPr>
      <t xml:space="preserve">系統啟動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停止按鈕</t>
    </r>
  </si>
  <si>
    <t xml:space="preserve">盤面按鈕</t>
  </si>
  <si>
    <t xml:space="preserve">現場人員可直接下達系統級啟停要求</t>
  </si>
  <si>
    <r>
      <rPr>
        <sz val="10"/>
        <rFont val="Noto Sans CJK SC"/>
        <family val="2"/>
      </rPr>
      <t xml:space="preserve">亦可由</t>
    </r>
    <r>
      <rPr>
        <sz val="10"/>
        <rFont val="Arial"/>
        <family val="0"/>
        <charset val="1"/>
      </rPr>
      <t xml:space="preserve">SCADA/</t>
    </r>
    <r>
      <rPr>
        <sz val="10"/>
        <rFont val="Noto Sans CJK SC"/>
        <family val="2"/>
      </rPr>
      <t xml:space="preserve">排程觸發等效指令</t>
    </r>
  </si>
  <si>
    <t xml:space="preserve">MCC-DO-01</t>
  </si>
  <si>
    <t xml:space="preserve">警報燈輸出</t>
  </si>
  <si>
    <t xml:space="preserve">24VDC</t>
  </si>
  <si>
    <t xml:space="preserve">盤面警報燈</t>
  </si>
  <si>
    <t xml:space="preserve">可手動測試燈號</t>
  </si>
  <si>
    <t xml:space="preserve">異常時自動點亮</t>
  </si>
  <si>
    <r>
      <rPr>
        <sz val="10"/>
        <rFont val="Noto Sans CJK SC"/>
        <family val="2"/>
      </rPr>
      <t xml:space="preserve">依警報等級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緊急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警告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提示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區分</t>
    </r>
  </si>
  <si>
    <t xml:space="preserve">MCC-DO-02</t>
  </si>
  <si>
    <t xml:space="preserve">蜂鳴器輸出</t>
  </si>
  <si>
    <t xml:space="preserve">盤面蜂鳴器</t>
  </si>
  <si>
    <t xml:space="preserve">可手動消音</t>
  </si>
  <si>
    <t xml:space="preserve">異常時自動鳴響</t>
  </si>
  <si>
    <t xml:space="preserve">MCC-AI-01</t>
  </si>
  <si>
    <t xml:space="preserve">各分路電流表監視</t>
  </si>
  <si>
    <r>
      <rPr>
        <sz val="10"/>
        <rFont val="Arial"/>
        <family val="0"/>
        <charset val="1"/>
      </rPr>
      <t xml:space="preserve">4-20mA</t>
    </r>
    <r>
      <rPr>
        <sz val="10"/>
        <rFont val="Noto Sans CJK SC"/>
        <family val="2"/>
      </rPr>
      <t xml:space="preserve">或電力監視模組</t>
    </r>
  </si>
  <si>
    <r>
      <rPr>
        <sz val="10"/>
        <rFont val="Noto Sans CJK SC"/>
        <family val="2"/>
      </rPr>
      <t xml:space="preserve">電流互感器</t>
    </r>
    <r>
      <rPr>
        <sz val="10"/>
        <rFont val="Arial"/>
        <family val="0"/>
        <charset val="1"/>
      </rPr>
      <t xml:space="preserve">(CT)</t>
    </r>
  </si>
  <si>
    <t xml:space="preserve">作為節能管理與異常診斷依據</t>
  </si>
  <si>
    <t xml:space="preserve">MCC-AI-02</t>
  </si>
  <si>
    <r>
      <rPr>
        <sz val="10"/>
        <rFont val="Noto Sans CJK SC"/>
        <family val="2"/>
      </rPr>
      <t xml:space="preserve">各分路電壓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用電量監視</t>
    </r>
  </si>
  <si>
    <t xml:space="preserve">電力監視模組</t>
  </si>
  <si>
    <r>
      <rPr>
        <sz val="10"/>
        <rFont val="Noto Sans CJK SC"/>
        <family val="2"/>
      </rPr>
      <t xml:space="preserve">供日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年報表輸出</t>
    </r>
  </si>
  <si>
    <t xml:space="preserve">SCADA-COM-01</t>
  </si>
  <si>
    <r>
      <rPr>
        <sz val="10"/>
        <rFont val="Noto Sans CJK SC"/>
        <family val="2"/>
      </rPr>
      <t xml:space="preserve">監控資料上傳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全部點位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</si>
  <si>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MODBUS TCP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BACnet IP</t>
    </r>
  </si>
  <si>
    <r>
      <rPr>
        <sz val="10"/>
        <rFont val="Arial"/>
        <family val="0"/>
        <charset val="1"/>
      </rPr>
      <t xml:space="preserve">MCC-PLC ↔ </t>
    </r>
    <r>
      <rPr>
        <sz val="10"/>
        <rFont val="Noto Sans CJK SC"/>
        <family val="2"/>
      </rPr>
      <t xml:space="preserve">上層</t>
    </r>
    <r>
      <rPr>
        <sz val="10"/>
        <rFont val="Arial"/>
        <family val="0"/>
        <charset val="1"/>
      </rPr>
      <t xml:space="preserve">SCADA/BAS</t>
    </r>
  </si>
  <si>
    <r>
      <rPr>
        <sz val="10"/>
        <rFont val="Noto Sans CJK SC"/>
        <family val="2"/>
      </rPr>
      <t xml:space="preserve">依權限：僅監視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可操作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系統管理</t>
    </r>
  </si>
  <si>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自動即時上傳</t>
    </r>
  </si>
  <si>
    <r>
      <rPr>
        <sz val="10"/>
        <rFont val="Noto Sans CJK SC"/>
        <family val="2"/>
      </rPr>
      <t xml:space="preserve">經授權可由廠區網路或雲端</t>
    </r>
    <r>
      <rPr>
        <sz val="10"/>
        <rFont val="Arial"/>
        <family val="0"/>
        <charset val="1"/>
      </rPr>
      <t xml:space="preserve">VPN</t>
    </r>
    <r>
      <rPr>
        <sz val="10"/>
        <rFont val="Noto Sans CJK SC"/>
        <family val="2"/>
      </rPr>
      <t xml:space="preserve">遠端監看</t>
    </r>
  </si>
  <si>
    <t xml:space="preserve">SCADA-COM-02</t>
  </si>
  <si>
    <t xml:space="preserve">歷史趨勢與報表資料</t>
  </si>
  <si>
    <r>
      <rPr>
        <sz val="10"/>
        <rFont val="Noto Sans CJK SC"/>
        <family val="2"/>
      </rPr>
      <t xml:space="preserve">系統自動記錄溫度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壓力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電流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運轉時數</t>
    </r>
  </si>
  <si>
    <r>
      <rPr>
        <sz val="10"/>
        <rFont val="Noto Sans CJK SC"/>
        <family val="2"/>
      </rPr>
      <t xml:space="preserve">供</t>
    </r>
    <r>
      <rPr>
        <sz val="10"/>
        <rFont val="Arial"/>
        <family val="0"/>
        <charset val="1"/>
      </rPr>
      <t xml:space="preserve">COP</t>
    </r>
    <r>
      <rPr>
        <sz val="10"/>
        <rFont val="Noto Sans CJK SC"/>
        <family val="2"/>
      </rPr>
      <t xml:space="preserve">估算與節能改善評估</t>
    </r>
  </si>
  <si>
    <t xml:space="preserve">SCADA-COM-03</t>
  </si>
  <si>
    <r>
      <rPr>
        <sz val="10"/>
        <rFont val="Noto Sans CJK SC"/>
        <family val="2"/>
      </rPr>
      <t xml:space="preserve">警報通知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簡訊</t>
    </r>
    <r>
      <rPr>
        <sz val="10"/>
        <rFont val="Arial"/>
        <family val="0"/>
        <charset val="1"/>
      </rPr>
      <t xml:space="preserve">/E-mail/APP</t>
    </r>
    <r>
      <rPr>
        <sz val="10"/>
        <rFont val="Noto Sans CJK SC"/>
        <family val="2"/>
      </rPr>
      <t xml:space="preserve">推播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</si>
  <si>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依</t>
    </r>
    <r>
      <rPr>
        <sz val="10"/>
        <rFont val="Arial"/>
        <family val="0"/>
        <charset val="1"/>
      </rPr>
      <t xml:space="preserve">SCADA</t>
    </r>
    <r>
      <rPr>
        <sz val="10"/>
        <rFont val="Noto Sans CJK SC"/>
        <family val="2"/>
      </rPr>
      <t xml:space="preserve">平台介面</t>
    </r>
  </si>
  <si>
    <r>
      <rPr>
        <sz val="10"/>
        <rFont val="Arial"/>
        <family val="0"/>
        <charset val="1"/>
      </rPr>
      <t xml:space="preserve">SCADA/BAS → </t>
    </r>
    <r>
      <rPr>
        <sz val="10"/>
        <rFont val="Noto Sans CJK SC"/>
        <family val="2"/>
      </rPr>
      <t xml:space="preserve">維護人員</t>
    </r>
  </si>
  <si>
    <t xml:space="preserve">重大異常時系統自動主動通知</t>
  </si>
  <si>
    <t xml:space="preserve">可選配功能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</si>
</sst>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EAD1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7" min="4" style="0" width="30"/>
    <col collapsed="false" customWidth="true" hidden="false" outlineLevel="0" max="8" min="8" style="0" width="24"/>
  </cols>
  <sheetData>
    <row r="1" customFormat="false" ht="21.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4" hidden="false" customHeight="false" outlineLevel="0" collapsed="false">
      <c r="A5" s="4" t="s">
        <v>10</v>
      </c>
      <c r="B5" s="5" t="s">
        <v>11</v>
      </c>
      <c r="C5" s="4" t="s">
        <v>12</v>
      </c>
      <c r="D5" s="5" t="s">
        <v>13</v>
      </c>
      <c r="E5" s="5" t="s">
        <v>14</v>
      </c>
      <c r="F5" s="5" t="s">
        <v>15</v>
      </c>
      <c r="G5" s="4" t="s">
        <v>16</v>
      </c>
      <c r="H5" s="4" t="s">
        <v>17</v>
      </c>
    </row>
    <row r="6" customFormat="false" ht="29.85" hidden="false" customHeight="false" outlineLevel="0" collapsed="false">
      <c r="A6" s="6" t="s">
        <v>18</v>
      </c>
      <c r="B6" s="7" t="s">
        <v>19</v>
      </c>
      <c r="C6" s="6" t="s">
        <v>20</v>
      </c>
      <c r="D6" s="7" t="s">
        <v>21</v>
      </c>
      <c r="E6" s="7" t="s">
        <v>22</v>
      </c>
      <c r="F6" s="7" t="s">
        <v>23</v>
      </c>
      <c r="G6" s="6" t="s">
        <v>24</v>
      </c>
      <c r="H6" s="7" t="s">
        <v>25</v>
      </c>
    </row>
    <row r="7" customFormat="false" ht="29.85" hidden="false" customHeight="false" outlineLevel="0" collapsed="false">
      <c r="A7" s="8" t="s">
        <v>26</v>
      </c>
      <c r="B7" s="9" t="s">
        <v>27</v>
      </c>
      <c r="C7" s="8" t="s">
        <v>20</v>
      </c>
      <c r="D7" s="9" t="s">
        <v>28</v>
      </c>
      <c r="E7" s="9" t="s">
        <v>22</v>
      </c>
      <c r="F7" s="9" t="s">
        <v>23</v>
      </c>
      <c r="G7" s="8" t="s">
        <v>29</v>
      </c>
      <c r="H7" s="9" t="s">
        <v>30</v>
      </c>
    </row>
    <row r="8" customFormat="false" ht="29.85" hidden="false" customHeight="false" outlineLevel="0" collapsed="false">
      <c r="A8" s="10" t="s">
        <v>31</v>
      </c>
      <c r="B8" s="11" t="s">
        <v>32</v>
      </c>
      <c r="C8" s="10" t="s">
        <v>20</v>
      </c>
      <c r="D8" s="11" t="s">
        <v>33</v>
      </c>
      <c r="E8" s="11" t="s">
        <v>22</v>
      </c>
      <c r="F8" s="11" t="s">
        <v>23</v>
      </c>
      <c r="G8" s="10" t="s">
        <v>34</v>
      </c>
      <c r="H8" s="11" t="s">
        <v>35</v>
      </c>
    </row>
    <row r="9" customFormat="false" ht="44" hidden="false" customHeight="false" outlineLevel="0" collapsed="false">
      <c r="A9" s="12" t="s">
        <v>36</v>
      </c>
      <c r="B9" s="13" t="s">
        <v>37</v>
      </c>
      <c r="C9" s="12" t="s">
        <v>38</v>
      </c>
      <c r="D9" s="13" t="s">
        <v>39</v>
      </c>
      <c r="E9" s="12" t="s">
        <v>40</v>
      </c>
      <c r="F9" s="13" t="s">
        <v>41</v>
      </c>
      <c r="G9" s="12" t="s">
        <v>42</v>
      </c>
      <c r="H9" s="12" t="s">
        <v>43</v>
      </c>
    </row>
    <row r="10" customFormat="false" ht="44" hidden="false" customHeight="false" outlineLevel="0" collapsed="false">
      <c r="A10" s="14" t="s">
        <v>44</v>
      </c>
      <c r="B10" s="14" t="s">
        <v>45</v>
      </c>
      <c r="C10" s="14" t="s">
        <v>46</v>
      </c>
      <c r="D10" s="15" t="s">
        <v>47</v>
      </c>
      <c r="E10" s="14" t="s">
        <v>48</v>
      </c>
      <c r="F10" s="15" t="s">
        <v>49</v>
      </c>
      <c r="G10" s="15" t="s">
        <v>50</v>
      </c>
      <c r="H10" s="15" t="s">
        <v>51</v>
      </c>
    </row>
    <row r="12" customFormat="false" ht="15" hidden="false" customHeight="false" outlineLevel="0" collapsed="false">
      <c r="A12" s="16" t="s">
        <v>52</v>
      </c>
      <c r="B12" s="16"/>
      <c r="C12" s="16"/>
      <c r="D12" s="16"/>
      <c r="E12" s="16"/>
      <c r="F12" s="16"/>
      <c r="G12" s="16"/>
      <c r="H12" s="16"/>
    </row>
    <row r="13" customFormat="false" ht="15" hidden="false" customHeight="false" outlineLevel="0" collapsed="false">
      <c r="A13" s="3" t="s">
        <v>2</v>
      </c>
      <c r="B13" s="17" t="s">
        <v>53</v>
      </c>
      <c r="C13" s="17" t="s">
        <v>54</v>
      </c>
      <c r="D13" s="17" t="s">
        <v>55</v>
      </c>
      <c r="E13" s="17" t="s">
        <v>56</v>
      </c>
      <c r="F13" s="3" t="s">
        <v>57</v>
      </c>
      <c r="G13" s="3" t="s">
        <v>58</v>
      </c>
      <c r="H13" s="3"/>
    </row>
    <row r="14" customFormat="false" ht="15" hidden="false" customHeight="false" outlineLevel="0" collapsed="false">
      <c r="A14" s="18" t="s">
        <v>10</v>
      </c>
      <c r="B14" s="18" t="n">
        <f aca="false">COUNTIFS('I-O點位明細'!$B:$B,"CH",'I-O點位明細'!$D:$D,"DI")</f>
        <v>3</v>
      </c>
      <c r="C14" s="18" t="n">
        <f aca="false">COUNTIFS('I-O點位明細'!$B:$B,"CH",'I-O點位明細'!$D:$D,"DO")</f>
        <v>1</v>
      </c>
      <c r="D14" s="18" t="n">
        <f aca="false">COUNTIFS('I-O點位明細'!$B:$B,"CH",'I-O點位明細'!$D:$D,"AI")</f>
        <v>6</v>
      </c>
      <c r="E14" s="18" t="n">
        <f aca="false">COUNTIFS('I-O點位明細'!$B:$B,"CH",'I-O點位明細'!$D:$D,"AO")</f>
        <v>0</v>
      </c>
      <c r="F14" s="18" t="n">
        <f aca="false">COUNTIFS('I-O點位明細'!$B:$B,"CH",'I-O點位明細'!$D:$D,"通訊")</f>
        <v>1</v>
      </c>
      <c r="G14" s="19" t="n">
        <f aca="false">SUM(B14:F14)</f>
        <v>11</v>
      </c>
    </row>
    <row r="15" customFormat="false" ht="15" hidden="false" customHeight="false" outlineLevel="0" collapsed="false">
      <c r="A15" s="18" t="s">
        <v>18</v>
      </c>
      <c r="B15" s="18" t="n">
        <f aca="false">COUNTIFS('I-O點位明細'!$B:$B,"CT",'I-O點位明細'!$D:$D,"DI")</f>
        <v>5</v>
      </c>
      <c r="C15" s="18" t="n">
        <f aca="false">COUNTIFS('I-O點位明細'!$B:$B,"CT",'I-O點位明細'!$D:$D,"DO")</f>
        <v>2</v>
      </c>
      <c r="D15" s="18" t="n">
        <f aca="false">COUNTIFS('I-O點位明細'!$B:$B,"CT",'I-O點位明細'!$D:$D,"AI")</f>
        <v>4</v>
      </c>
      <c r="E15" s="18" t="n">
        <f aca="false">COUNTIFS('I-O點位明細'!$B:$B,"CT",'I-O點位明細'!$D:$D,"AO")</f>
        <v>2</v>
      </c>
      <c r="F15" s="18" t="n">
        <f aca="false">COUNTIFS('I-O點位明細'!$B:$B,"CT",'I-O點位明細'!$D:$D,"通訊")</f>
        <v>0</v>
      </c>
      <c r="G15" s="19" t="n">
        <f aca="false">SUM(B15:F15)</f>
        <v>13</v>
      </c>
    </row>
    <row r="16" customFormat="false" ht="15" hidden="false" customHeight="false" outlineLevel="0" collapsed="false">
      <c r="A16" s="18" t="s">
        <v>26</v>
      </c>
      <c r="B16" s="18" t="n">
        <f aca="false">COUNTIFS('I-O點位明細'!$B:$B,"CHWP",'I-O點位明細'!$D:$D,"DI")</f>
        <v>5</v>
      </c>
      <c r="C16" s="18" t="n">
        <f aca="false">COUNTIFS('I-O點位明細'!$B:$B,"CHWP",'I-O點位明細'!$D:$D,"DO")</f>
        <v>2</v>
      </c>
      <c r="D16" s="18" t="n">
        <f aca="false">COUNTIFS('I-O點位明細'!$B:$B,"CHWP",'I-O點位明細'!$D:$D,"AI")</f>
        <v>4</v>
      </c>
      <c r="E16" s="18" t="n">
        <f aca="false">COUNTIFS('I-O點位明細'!$B:$B,"CHWP",'I-O點位明細'!$D:$D,"AO")</f>
        <v>2</v>
      </c>
      <c r="F16" s="18" t="n">
        <f aca="false">COUNTIFS('I-O點位明細'!$B:$B,"CHWP",'I-O點位明細'!$D:$D,"通訊")</f>
        <v>0</v>
      </c>
      <c r="G16" s="19" t="n">
        <f aca="false">SUM(B16:F16)</f>
        <v>13</v>
      </c>
    </row>
    <row r="17" customFormat="false" ht="15" hidden="false" customHeight="false" outlineLevel="0" collapsed="false">
      <c r="A17" s="18" t="s">
        <v>31</v>
      </c>
      <c r="B17" s="18" t="n">
        <f aca="false">COUNTIFS('I-O點位明細'!$B:$B,"CWP",'I-O點位明細'!$D:$D,"DI")</f>
        <v>5</v>
      </c>
      <c r="C17" s="18" t="n">
        <f aca="false">COUNTIFS('I-O點位明細'!$B:$B,"CWP",'I-O點位明細'!$D:$D,"DO")</f>
        <v>2</v>
      </c>
      <c r="D17" s="18" t="n">
        <f aca="false">COUNTIFS('I-O點位明細'!$B:$B,"CWP",'I-O點位明細'!$D:$D,"AI")</f>
        <v>4</v>
      </c>
      <c r="E17" s="18" t="n">
        <f aca="false">COUNTIFS('I-O點位明細'!$B:$B,"CWP",'I-O點位明細'!$D:$D,"AO")</f>
        <v>2</v>
      </c>
      <c r="F17" s="18" t="n">
        <f aca="false">COUNTIFS('I-O點位明細'!$B:$B,"CWP",'I-O點位明細'!$D:$D,"通訊")</f>
        <v>0</v>
      </c>
      <c r="G17" s="19" t="n">
        <f aca="false">SUM(B17:F17)</f>
        <v>13</v>
      </c>
    </row>
    <row r="18" customFormat="false" ht="15" hidden="false" customHeight="false" outlineLevel="0" collapsed="false">
      <c r="A18" s="18" t="s">
        <v>36</v>
      </c>
      <c r="B18" s="18" t="n">
        <f aca="false">COUNTIFS('I-O點位明細'!$B:$B,"MCC",'I-O點位明細'!$D:$D,"DI")</f>
        <v>3</v>
      </c>
      <c r="C18" s="18" t="n">
        <f aca="false">COUNTIFS('I-O點位明細'!$B:$B,"MCC",'I-O點位明細'!$D:$D,"DO")</f>
        <v>2</v>
      </c>
      <c r="D18" s="18" t="n">
        <f aca="false">COUNTIFS('I-O點位明細'!$B:$B,"MCC",'I-O點位明細'!$D:$D,"AI")</f>
        <v>2</v>
      </c>
      <c r="E18" s="18" t="n">
        <f aca="false">COUNTIFS('I-O點位明細'!$B:$B,"MCC",'I-O點位明細'!$D:$D,"AO")</f>
        <v>0</v>
      </c>
      <c r="F18" s="18" t="n">
        <f aca="false">COUNTIFS('I-O點位明細'!$B:$B,"MCC",'I-O點位明細'!$D:$D,"通訊")</f>
        <v>0</v>
      </c>
      <c r="G18" s="19" t="n">
        <f aca="false">SUM(B18:F18)</f>
        <v>7</v>
      </c>
    </row>
    <row r="19" customFormat="false" ht="15" hidden="false" customHeight="false" outlineLevel="0" collapsed="false">
      <c r="A19" s="18" t="s">
        <v>44</v>
      </c>
      <c r="B19" s="18" t="n">
        <f aca="false">COUNTIFS('I-O點位明細'!$B:$B,"SCADA",'I-O點位明細'!$D:$D,"DI")</f>
        <v>0</v>
      </c>
      <c r="C19" s="18" t="n">
        <f aca="false">COUNTIFS('I-O點位明細'!$B:$B,"SCADA",'I-O點位明細'!$D:$D,"DO")</f>
        <v>0</v>
      </c>
      <c r="D19" s="18" t="n">
        <f aca="false">COUNTIFS('I-O點位明細'!$B:$B,"SCADA",'I-O點位明細'!$D:$D,"AI")</f>
        <v>0</v>
      </c>
      <c r="E19" s="18" t="n">
        <f aca="false">COUNTIFS('I-O點位明細'!$B:$B,"SCADA",'I-O點位明細'!$D:$D,"AO")</f>
        <v>0</v>
      </c>
      <c r="F19" s="18" t="n">
        <f aca="false">COUNTIFS('I-O點位明細'!$B:$B,"SCADA",'I-O點位明細'!$D:$D,"通訊")</f>
        <v>3</v>
      </c>
      <c r="G19" s="19" t="n">
        <f aca="false">SUM(B19:F19)</f>
        <v>3</v>
      </c>
    </row>
    <row r="20" customFormat="false" ht="15" hidden="false" customHeight="false" outlineLevel="0" collapsed="false">
      <c r="A20" s="20" t="s">
        <v>59</v>
      </c>
      <c r="B20" s="19" t="n">
        <f aca="false">SUM(B14:B19)</f>
        <v>21</v>
      </c>
      <c r="C20" s="19" t="n">
        <f aca="false">SUM(C14:C19)</f>
        <v>9</v>
      </c>
      <c r="D20" s="19" t="n">
        <f aca="false">SUM(D14:D19)</f>
        <v>20</v>
      </c>
      <c r="E20" s="19" t="n">
        <f aca="false">SUM(E14:E19)</f>
        <v>6</v>
      </c>
      <c r="F20" s="19" t="n">
        <f aca="false">SUM(F14:F19)</f>
        <v>4</v>
      </c>
      <c r="G20" s="19" t="n">
        <f aca="false">SUM(G14:G19)</f>
        <v>60</v>
      </c>
    </row>
  </sheetData>
  <mergeCells count="3">
    <mergeCell ref="A1:H1"/>
    <mergeCell ref="A2:H2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10" min="8" style="0" width="30"/>
  </cols>
  <sheetData>
    <row r="1" customFormat="false" ht="21.6" hidden="false" customHeight="false" outlineLevel="0" collapsed="false">
      <c r="A1" s="21" t="s">
        <v>60</v>
      </c>
    </row>
    <row r="2" customFormat="false" ht="15" hidden="false" customHeight="false" outlineLevel="0" collapsed="false">
      <c r="A2" s="22" t="s">
        <v>61</v>
      </c>
    </row>
    <row r="4" customFormat="false" ht="29.85" hidden="false" customHeight="false" outlineLevel="0" collapsed="false">
      <c r="A4" s="3" t="s">
        <v>62</v>
      </c>
      <c r="B4" s="3" t="s">
        <v>2</v>
      </c>
      <c r="C4" s="3" t="s">
        <v>63</v>
      </c>
      <c r="D4" s="17" t="s">
        <v>64</v>
      </c>
      <c r="E4" s="3" t="s">
        <v>65</v>
      </c>
      <c r="F4" s="3" t="s">
        <v>66</v>
      </c>
      <c r="G4" s="3" t="s">
        <v>67</v>
      </c>
      <c r="H4" s="3" t="s">
        <v>68</v>
      </c>
      <c r="I4" s="3" t="s">
        <v>69</v>
      </c>
      <c r="J4" s="3" t="s">
        <v>9</v>
      </c>
    </row>
    <row r="5" customFormat="false" ht="15" hidden="false" customHeight="false" outlineLevel="0" collapsed="false">
      <c r="A5" s="23" t="n">
        <v>1</v>
      </c>
      <c r="B5" s="23" t="s">
        <v>10</v>
      </c>
      <c r="C5" s="23" t="s">
        <v>70</v>
      </c>
      <c r="D5" s="23" t="s">
        <v>53</v>
      </c>
      <c r="E5" s="5" t="s">
        <v>71</v>
      </c>
      <c r="F5" s="5" t="s">
        <v>72</v>
      </c>
      <c r="G5" s="5" t="s">
        <v>73</v>
      </c>
      <c r="H5" s="5" t="s">
        <v>74</v>
      </c>
      <c r="I5" s="4" t="s">
        <v>75</v>
      </c>
      <c r="J5" s="5" t="s">
        <v>76</v>
      </c>
    </row>
    <row r="6" customFormat="false" ht="29.85" hidden="false" customHeight="false" outlineLevel="0" collapsed="false">
      <c r="A6" s="23" t="n">
        <v>2</v>
      </c>
      <c r="B6" s="23" t="s">
        <v>10</v>
      </c>
      <c r="C6" s="23" t="s">
        <v>77</v>
      </c>
      <c r="D6" s="23" t="s">
        <v>53</v>
      </c>
      <c r="E6" s="5" t="s">
        <v>78</v>
      </c>
      <c r="F6" s="5" t="s">
        <v>72</v>
      </c>
      <c r="G6" s="5" t="s">
        <v>73</v>
      </c>
      <c r="H6" s="5" t="s">
        <v>79</v>
      </c>
      <c r="I6" s="4" t="s">
        <v>80</v>
      </c>
      <c r="J6" s="5" t="s">
        <v>81</v>
      </c>
    </row>
    <row r="7" customFormat="false" ht="29.85" hidden="false" customHeight="false" outlineLevel="0" collapsed="false">
      <c r="A7" s="23" t="n">
        <v>3</v>
      </c>
      <c r="B7" s="23" t="s">
        <v>10</v>
      </c>
      <c r="C7" s="23" t="s">
        <v>82</v>
      </c>
      <c r="D7" s="23" t="s">
        <v>53</v>
      </c>
      <c r="E7" s="5" t="s">
        <v>83</v>
      </c>
      <c r="F7" s="5" t="s">
        <v>72</v>
      </c>
      <c r="G7" s="5" t="s">
        <v>73</v>
      </c>
      <c r="H7" s="5" t="s">
        <v>84</v>
      </c>
      <c r="I7" s="5" t="s">
        <v>85</v>
      </c>
      <c r="J7" s="5" t="s">
        <v>86</v>
      </c>
    </row>
    <row r="8" customFormat="false" ht="29.85" hidden="false" customHeight="false" outlineLevel="0" collapsed="false">
      <c r="A8" s="23" t="n">
        <v>4</v>
      </c>
      <c r="B8" s="23" t="s">
        <v>10</v>
      </c>
      <c r="C8" s="23" t="s">
        <v>87</v>
      </c>
      <c r="D8" s="23" t="s">
        <v>54</v>
      </c>
      <c r="E8" s="5" t="s">
        <v>88</v>
      </c>
      <c r="F8" s="4" t="s">
        <v>89</v>
      </c>
      <c r="G8" s="5" t="s">
        <v>73</v>
      </c>
      <c r="H8" s="4" t="s">
        <v>90</v>
      </c>
      <c r="I8" s="4" t="s">
        <v>91</v>
      </c>
      <c r="J8" s="5" t="s">
        <v>92</v>
      </c>
    </row>
    <row r="9" customFormat="false" ht="15" hidden="false" customHeight="false" outlineLevel="0" collapsed="false">
      <c r="A9" s="23" t="n">
        <v>5</v>
      </c>
      <c r="B9" s="23" t="s">
        <v>10</v>
      </c>
      <c r="C9" s="23" t="s">
        <v>93</v>
      </c>
      <c r="D9" s="23" t="s">
        <v>55</v>
      </c>
      <c r="E9" s="5" t="s">
        <v>94</v>
      </c>
      <c r="F9" s="4" t="s">
        <v>95</v>
      </c>
      <c r="G9" s="5" t="s">
        <v>96</v>
      </c>
      <c r="H9" s="5" t="s">
        <v>97</v>
      </c>
      <c r="I9" s="5" t="s">
        <v>97</v>
      </c>
      <c r="J9" s="4" t="s">
        <v>98</v>
      </c>
    </row>
    <row r="10" customFormat="false" ht="15" hidden="false" customHeight="false" outlineLevel="0" collapsed="false">
      <c r="A10" s="23" t="n">
        <v>6</v>
      </c>
      <c r="B10" s="23" t="s">
        <v>10</v>
      </c>
      <c r="C10" s="23" t="s">
        <v>99</v>
      </c>
      <c r="D10" s="23" t="s">
        <v>55</v>
      </c>
      <c r="E10" s="5" t="s">
        <v>100</v>
      </c>
      <c r="F10" s="4" t="s">
        <v>95</v>
      </c>
      <c r="G10" s="5" t="s">
        <v>96</v>
      </c>
      <c r="H10" s="5" t="s">
        <v>97</v>
      </c>
      <c r="I10" s="5" t="s">
        <v>97</v>
      </c>
      <c r="J10" s="4"/>
    </row>
    <row r="11" customFormat="false" ht="15" hidden="false" customHeight="false" outlineLevel="0" collapsed="false">
      <c r="A11" s="23" t="n">
        <v>7</v>
      </c>
      <c r="B11" s="23" t="s">
        <v>10</v>
      </c>
      <c r="C11" s="23" t="s">
        <v>101</v>
      </c>
      <c r="D11" s="23" t="s">
        <v>55</v>
      </c>
      <c r="E11" s="5" t="s">
        <v>102</v>
      </c>
      <c r="F11" s="4" t="s">
        <v>95</v>
      </c>
      <c r="G11" s="5" t="s">
        <v>96</v>
      </c>
      <c r="H11" s="5" t="s">
        <v>97</v>
      </c>
      <c r="I11" s="5" t="s">
        <v>97</v>
      </c>
      <c r="J11" s="4"/>
    </row>
    <row r="12" customFormat="false" ht="15" hidden="false" customHeight="false" outlineLevel="0" collapsed="false">
      <c r="A12" s="23" t="n">
        <v>8</v>
      </c>
      <c r="B12" s="23" t="s">
        <v>10</v>
      </c>
      <c r="C12" s="23" t="s">
        <v>103</v>
      </c>
      <c r="D12" s="23" t="s">
        <v>55</v>
      </c>
      <c r="E12" s="5" t="s">
        <v>104</v>
      </c>
      <c r="F12" s="4" t="s">
        <v>95</v>
      </c>
      <c r="G12" s="5" t="s">
        <v>96</v>
      </c>
      <c r="H12" s="5" t="s">
        <v>97</v>
      </c>
      <c r="I12" s="5" t="s">
        <v>97</v>
      </c>
      <c r="J12" s="4"/>
    </row>
    <row r="13" customFormat="false" ht="15" hidden="false" customHeight="false" outlineLevel="0" collapsed="false">
      <c r="A13" s="23" t="n">
        <v>9</v>
      </c>
      <c r="B13" s="23" t="s">
        <v>10</v>
      </c>
      <c r="C13" s="23" t="s">
        <v>105</v>
      </c>
      <c r="D13" s="23" t="s">
        <v>55</v>
      </c>
      <c r="E13" s="5" t="s">
        <v>106</v>
      </c>
      <c r="F13" s="4" t="s">
        <v>95</v>
      </c>
      <c r="G13" s="5" t="s">
        <v>96</v>
      </c>
      <c r="H13" s="5" t="s">
        <v>97</v>
      </c>
      <c r="I13" s="5" t="s">
        <v>97</v>
      </c>
      <c r="J13" s="5" t="s">
        <v>107</v>
      </c>
    </row>
    <row r="14" customFormat="false" ht="15" hidden="false" customHeight="false" outlineLevel="0" collapsed="false">
      <c r="A14" s="23" t="n">
        <v>10</v>
      </c>
      <c r="B14" s="23" t="s">
        <v>10</v>
      </c>
      <c r="C14" s="23" t="s">
        <v>108</v>
      </c>
      <c r="D14" s="23" t="s">
        <v>55</v>
      </c>
      <c r="E14" s="5" t="s">
        <v>109</v>
      </c>
      <c r="F14" s="4" t="s">
        <v>95</v>
      </c>
      <c r="G14" s="5" t="s">
        <v>96</v>
      </c>
      <c r="H14" s="5" t="s">
        <v>97</v>
      </c>
      <c r="I14" s="5" t="s">
        <v>97</v>
      </c>
      <c r="J14" s="5" t="s">
        <v>110</v>
      </c>
    </row>
    <row r="15" customFormat="false" ht="26.85" hidden="false" customHeight="false" outlineLevel="0" collapsed="false">
      <c r="A15" s="23" t="n">
        <v>11</v>
      </c>
      <c r="B15" s="23" t="s">
        <v>10</v>
      </c>
      <c r="C15" s="23" t="s">
        <v>111</v>
      </c>
      <c r="D15" s="24" t="s">
        <v>57</v>
      </c>
      <c r="E15" s="5" t="s">
        <v>112</v>
      </c>
      <c r="F15" s="4" t="s">
        <v>113</v>
      </c>
      <c r="G15" s="5" t="s">
        <v>114</v>
      </c>
      <c r="H15" s="4" t="s">
        <v>115</v>
      </c>
      <c r="I15" s="5" t="s">
        <v>116</v>
      </c>
      <c r="J15" s="5" t="s">
        <v>117</v>
      </c>
    </row>
    <row r="16" customFormat="false" ht="29.85" hidden="false" customHeight="false" outlineLevel="0" collapsed="false">
      <c r="A16" s="25" t="n">
        <v>12</v>
      </c>
      <c r="B16" s="25" t="s">
        <v>18</v>
      </c>
      <c r="C16" s="25" t="s">
        <v>118</v>
      </c>
      <c r="D16" s="25" t="s">
        <v>53</v>
      </c>
      <c r="E16" s="7" t="s">
        <v>119</v>
      </c>
      <c r="F16" s="7" t="s">
        <v>72</v>
      </c>
      <c r="G16" s="7" t="s">
        <v>120</v>
      </c>
      <c r="H16" s="7" t="s">
        <v>121</v>
      </c>
      <c r="I16" s="6" t="s">
        <v>122</v>
      </c>
      <c r="J16" s="6"/>
    </row>
    <row r="17" customFormat="false" ht="15" hidden="false" customHeight="false" outlineLevel="0" collapsed="false">
      <c r="A17" s="25" t="n">
        <v>13</v>
      </c>
      <c r="B17" s="25" t="s">
        <v>18</v>
      </c>
      <c r="C17" s="25" t="s">
        <v>123</v>
      </c>
      <c r="D17" s="25" t="s">
        <v>53</v>
      </c>
      <c r="E17" s="7" t="s">
        <v>124</v>
      </c>
      <c r="F17" s="7" t="s">
        <v>72</v>
      </c>
      <c r="G17" s="7" t="s">
        <v>125</v>
      </c>
      <c r="H17" s="7" t="s">
        <v>126</v>
      </c>
      <c r="I17" s="7" t="s">
        <v>126</v>
      </c>
      <c r="J17" s="6"/>
    </row>
    <row r="18" customFormat="false" ht="29.85" hidden="false" customHeight="false" outlineLevel="0" collapsed="false">
      <c r="A18" s="25" t="n">
        <v>14</v>
      </c>
      <c r="B18" s="25" t="s">
        <v>18</v>
      </c>
      <c r="C18" s="25" t="s">
        <v>127</v>
      </c>
      <c r="D18" s="25" t="s">
        <v>54</v>
      </c>
      <c r="E18" s="7" t="s">
        <v>128</v>
      </c>
      <c r="F18" s="6" t="s">
        <v>129</v>
      </c>
      <c r="G18" s="7" t="s">
        <v>125</v>
      </c>
      <c r="H18" s="7" t="s">
        <v>130</v>
      </c>
      <c r="I18" s="6" t="s">
        <v>131</v>
      </c>
      <c r="J18" s="6"/>
    </row>
    <row r="19" customFormat="false" ht="15" hidden="false" customHeight="false" outlineLevel="0" collapsed="false">
      <c r="A19" s="25" t="n">
        <v>15</v>
      </c>
      <c r="B19" s="25" t="s">
        <v>18</v>
      </c>
      <c r="C19" s="25" t="s">
        <v>132</v>
      </c>
      <c r="D19" s="25" t="s">
        <v>55</v>
      </c>
      <c r="E19" s="7" t="s">
        <v>133</v>
      </c>
      <c r="F19" s="6" t="s">
        <v>134</v>
      </c>
      <c r="G19" s="7" t="s">
        <v>135</v>
      </c>
      <c r="H19" s="7" t="s">
        <v>97</v>
      </c>
      <c r="I19" s="7" t="s">
        <v>97</v>
      </c>
      <c r="J19" s="6"/>
    </row>
    <row r="20" customFormat="false" ht="15" hidden="false" customHeight="false" outlineLevel="0" collapsed="false">
      <c r="A20" s="25" t="n">
        <v>16</v>
      </c>
      <c r="B20" s="25" t="s">
        <v>18</v>
      </c>
      <c r="C20" s="25" t="s">
        <v>136</v>
      </c>
      <c r="D20" s="25" t="s">
        <v>55</v>
      </c>
      <c r="E20" s="7" t="s">
        <v>137</v>
      </c>
      <c r="F20" s="6" t="s">
        <v>134</v>
      </c>
      <c r="G20" s="7" t="s">
        <v>135</v>
      </c>
      <c r="H20" s="7" t="s">
        <v>97</v>
      </c>
      <c r="I20" s="7" t="s">
        <v>97</v>
      </c>
      <c r="J20" s="6"/>
    </row>
    <row r="21" customFormat="false" ht="29.85" hidden="false" customHeight="false" outlineLevel="0" collapsed="false">
      <c r="A21" s="25" t="n">
        <v>17</v>
      </c>
      <c r="B21" s="25" t="s">
        <v>18</v>
      </c>
      <c r="C21" s="25" t="s">
        <v>138</v>
      </c>
      <c r="D21" s="25" t="s">
        <v>56</v>
      </c>
      <c r="E21" s="7" t="s">
        <v>139</v>
      </c>
      <c r="F21" s="6" t="s">
        <v>134</v>
      </c>
      <c r="G21" s="6" t="s">
        <v>140</v>
      </c>
      <c r="H21" s="7" t="s">
        <v>141</v>
      </c>
      <c r="I21" s="6" t="s">
        <v>142</v>
      </c>
      <c r="J21" s="7" t="s">
        <v>143</v>
      </c>
    </row>
    <row r="22" customFormat="false" ht="29.85" hidden="false" customHeight="false" outlineLevel="0" collapsed="false">
      <c r="A22" s="25" t="n">
        <v>18</v>
      </c>
      <c r="B22" s="25" t="s">
        <v>18</v>
      </c>
      <c r="C22" s="25" t="s">
        <v>144</v>
      </c>
      <c r="D22" s="25" t="s">
        <v>53</v>
      </c>
      <c r="E22" s="7" t="s">
        <v>145</v>
      </c>
      <c r="F22" s="7" t="s">
        <v>72</v>
      </c>
      <c r="G22" s="7" t="s">
        <v>120</v>
      </c>
      <c r="H22" s="7" t="s">
        <v>121</v>
      </c>
      <c r="I22" s="6" t="s">
        <v>122</v>
      </c>
      <c r="J22" s="6"/>
    </row>
    <row r="23" customFormat="false" ht="15" hidden="false" customHeight="false" outlineLevel="0" collapsed="false">
      <c r="A23" s="25" t="n">
        <v>19</v>
      </c>
      <c r="B23" s="25" t="s">
        <v>18</v>
      </c>
      <c r="C23" s="25" t="s">
        <v>146</v>
      </c>
      <c r="D23" s="25" t="s">
        <v>53</v>
      </c>
      <c r="E23" s="7" t="s">
        <v>147</v>
      </c>
      <c r="F23" s="7" t="s">
        <v>72</v>
      </c>
      <c r="G23" s="7" t="s">
        <v>125</v>
      </c>
      <c r="H23" s="7" t="s">
        <v>126</v>
      </c>
      <c r="I23" s="7" t="s">
        <v>126</v>
      </c>
      <c r="J23" s="6"/>
    </row>
    <row r="24" customFormat="false" ht="29.85" hidden="false" customHeight="false" outlineLevel="0" collapsed="false">
      <c r="A24" s="25" t="n">
        <v>20</v>
      </c>
      <c r="B24" s="25" t="s">
        <v>18</v>
      </c>
      <c r="C24" s="25" t="s">
        <v>148</v>
      </c>
      <c r="D24" s="25" t="s">
        <v>54</v>
      </c>
      <c r="E24" s="7" t="s">
        <v>149</v>
      </c>
      <c r="F24" s="6" t="s">
        <v>129</v>
      </c>
      <c r="G24" s="7" t="s">
        <v>125</v>
      </c>
      <c r="H24" s="7" t="s">
        <v>130</v>
      </c>
      <c r="I24" s="6" t="s">
        <v>131</v>
      </c>
      <c r="J24" s="6"/>
    </row>
    <row r="25" customFormat="false" ht="15" hidden="false" customHeight="false" outlineLevel="0" collapsed="false">
      <c r="A25" s="25" t="n">
        <v>21</v>
      </c>
      <c r="B25" s="25" t="s">
        <v>18</v>
      </c>
      <c r="C25" s="25" t="s">
        <v>150</v>
      </c>
      <c r="D25" s="25" t="s">
        <v>55</v>
      </c>
      <c r="E25" s="7" t="s">
        <v>151</v>
      </c>
      <c r="F25" s="6" t="s">
        <v>134</v>
      </c>
      <c r="G25" s="7" t="s">
        <v>135</v>
      </c>
      <c r="H25" s="7" t="s">
        <v>97</v>
      </c>
      <c r="I25" s="7" t="s">
        <v>97</v>
      </c>
      <c r="J25" s="6"/>
    </row>
    <row r="26" customFormat="false" ht="15" hidden="false" customHeight="false" outlineLevel="0" collapsed="false">
      <c r="A26" s="25" t="n">
        <v>22</v>
      </c>
      <c r="B26" s="25" t="s">
        <v>18</v>
      </c>
      <c r="C26" s="25" t="s">
        <v>152</v>
      </c>
      <c r="D26" s="25" t="s">
        <v>55</v>
      </c>
      <c r="E26" s="7" t="s">
        <v>153</v>
      </c>
      <c r="F26" s="6" t="s">
        <v>134</v>
      </c>
      <c r="G26" s="7" t="s">
        <v>135</v>
      </c>
      <c r="H26" s="7" t="s">
        <v>97</v>
      </c>
      <c r="I26" s="7" t="s">
        <v>97</v>
      </c>
      <c r="J26" s="6"/>
    </row>
    <row r="27" customFormat="false" ht="29.85" hidden="false" customHeight="false" outlineLevel="0" collapsed="false">
      <c r="A27" s="25" t="n">
        <v>23</v>
      </c>
      <c r="B27" s="25" t="s">
        <v>18</v>
      </c>
      <c r="C27" s="25" t="s">
        <v>154</v>
      </c>
      <c r="D27" s="25" t="s">
        <v>56</v>
      </c>
      <c r="E27" s="7" t="s">
        <v>155</v>
      </c>
      <c r="F27" s="6" t="s">
        <v>134</v>
      </c>
      <c r="G27" s="6" t="s">
        <v>140</v>
      </c>
      <c r="H27" s="7" t="s">
        <v>141</v>
      </c>
      <c r="I27" s="6" t="s">
        <v>142</v>
      </c>
      <c r="J27" s="7" t="s">
        <v>143</v>
      </c>
    </row>
    <row r="28" customFormat="false" ht="29.85" hidden="false" customHeight="false" outlineLevel="0" collapsed="false">
      <c r="A28" s="25" t="n">
        <v>24</v>
      </c>
      <c r="B28" s="25" t="s">
        <v>18</v>
      </c>
      <c r="C28" s="25" t="s">
        <v>156</v>
      </c>
      <c r="D28" s="25" t="s">
        <v>53</v>
      </c>
      <c r="E28" s="7" t="s">
        <v>157</v>
      </c>
      <c r="F28" s="7" t="s">
        <v>72</v>
      </c>
      <c r="G28" s="7" t="s">
        <v>158</v>
      </c>
      <c r="H28" s="7" t="s">
        <v>159</v>
      </c>
      <c r="I28" s="7" t="s">
        <v>159</v>
      </c>
      <c r="J28" s="7" t="s">
        <v>160</v>
      </c>
    </row>
    <row r="29" customFormat="false" ht="29.85" hidden="false" customHeight="false" outlineLevel="0" collapsed="false">
      <c r="A29" s="26" t="n">
        <v>25</v>
      </c>
      <c r="B29" s="26" t="s">
        <v>26</v>
      </c>
      <c r="C29" s="26" t="s">
        <v>161</v>
      </c>
      <c r="D29" s="26" t="s">
        <v>53</v>
      </c>
      <c r="E29" s="9" t="s">
        <v>162</v>
      </c>
      <c r="F29" s="9" t="s">
        <v>72</v>
      </c>
      <c r="G29" s="9" t="s">
        <v>120</v>
      </c>
      <c r="H29" s="9" t="s">
        <v>121</v>
      </c>
      <c r="I29" s="8" t="s">
        <v>122</v>
      </c>
      <c r="J29" s="8"/>
    </row>
    <row r="30" customFormat="false" ht="15" hidden="false" customHeight="false" outlineLevel="0" collapsed="false">
      <c r="A30" s="26" t="n">
        <v>26</v>
      </c>
      <c r="B30" s="26" t="s">
        <v>26</v>
      </c>
      <c r="C30" s="26" t="s">
        <v>163</v>
      </c>
      <c r="D30" s="26" t="s">
        <v>53</v>
      </c>
      <c r="E30" s="9" t="s">
        <v>164</v>
      </c>
      <c r="F30" s="9" t="s">
        <v>72</v>
      </c>
      <c r="G30" s="9" t="s">
        <v>165</v>
      </c>
      <c r="H30" s="9" t="s">
        <v>126</v>
      </c>
      <c r="I30" s="9" t="s">
        <v>126</v>
      </c>
      <c r="J30" s="8"/>
    </row>
    <row r="31" customFormat="false" ht="29.85" hidden="false" customHeight="false" outlineLevel="0" collapsed="false">
      <c r="A31" s="26" t="n">
        <v>27</v>
      </c>
      <c r="B31" s="26" t="s">
        <v>26</v>
      </c>
      <c r="C31" s="26" t="s">
        <v>166</v>
      </c>
      <c r="D31" s="26" t="s">
        <v>54</v>
      </c>
      <c r="E31" s="9" t="s">
        <v>167</v>
      </c>
      <c r="F31" s="8" t="s">
        <v>129</v>
      </c>
      <c r="G31" s="9" t="s">
        <v>165</v>
      </c>
      <c r="H31" s="9" t="s">
        <v>130</v>
      </c>
      <c r="I31" s="8" t="s">
        <v>168</v>
      </c>
      <c r="J31" s="9" t="s">
        <v>169</v>
      </c>
    </row>
    <row r="32" customFormat="false" ht="15" hidden="false" customHeight="false" outlineLevel="0" collapsed="false">
      <c r="A32" s="26" t="n">
        <v>28</v>
      </c>
      <c r="B32" s="26" t="s">
        <v>26</v>
      </c>
      <c r="C32" s="26" t="s">
        <v>170</v>
      </c>
      <c r="D32" s="26" t="s">
        <v>55</v>
      </c>
      <c r="E32" s="9" t="s">
        <v>171</v>
      </c>
      <c r="F32" s="8" t="s">
        <v>134</v>
      </c>
      <c r="G32" s="9" t="s">
        <v>135</v>
      </c>
      <c r="H32" s="9" t="s">
        <v>97</v>
      </c>
      <c r="I32" s="9" t="s">
        <v>97</v>
      </c>
      <c r="J32" s="8"/>
    </row>
    <row r="33" customFormat="false" ht="15" hidden="false" customHeight="false" outlineLevel="0" collapsed="false">
      <c r="A33" s="26" t="n">
        <v>29</v>
      </c>
      <c r="B33" s="26" t="s">
        <v>26</v>
      </c>
      <c r="C33" s="26" t="s">
        <v>172</v>
      </c>
      <c r="D33" s="26" t="s">
        <v>55</v>
      </c>
      <c r="E33" s="9" t="s">
        <v>173</v>
      </c>
      <c r="F33" s="8" t="s">
        <v>174</v>
      </c>
      <c r="G33" s="9" t="s">
        <v>175</v>
      </c>
      <c r="H33" s="9" t="s">
        <v>97</v>
      </c>
      <c r="I33" s="9" t="s">
        <v>97</v>
      </c>
      <c r="J33" s="8"/>
    </row>
    <row r="34" customFormat="false" ht="29.85" hidden="false" customHeight="false" outlineLevel="0" collapsed="false">
      <c r="A34" s="26" t="n">
        <v>30</v>
      </c>
      <c r="B34" s="26" t="s">
        <v>26</v>
      </c>
      <c r="C34" s="26" t="s">
        <v>176</v>
      </c>
      <c r="D34" s="26" t="s">
        <v>56</v>
      </c>
      <c r="E34" s="9" t="s">
        <v>177</v>
      </c>
      <c r="F34" s="8" t="s">
        <v>134</v>
      </c>
      <c r="G34" s="8" t="s">
        <v>140</v>
      </c>
      <c r="H34" s="9" t="s">
        <v>178</v>
      </c>
      <c r="I34" s="8" t="s">
        <v>179</v>
      </c>
      <c r="J34" s="9" t="s">
        <v>180</v>
      </c>
    </row>
    <row r="35" customFormat="false" ht="29.85" hidden="false" customHeight="false" outlineLevel="0" collapsed="false">
      <c r="A35" s="26" t="n">
        <v>31</v>
      </c>
      <c r="B35" s="26" t="s">
        <v>26</v>
      </c>
      <c r="C35" s="26" t="s">
        <v>181</v>
      </c>
      <c r="D35" s="26" t="s">
        <v>53</v>
      </c>
      <c r="E35" s="9" t="s">
        <v>182</v>
      </c>
      <c r="F35" s="9" t="s">
        <v>72</v>
      </c>
      <c r="G35" s="9" t="s">
        <v>120</v>
      </c>
      <c r="H35" s="9" t="s">
        <v>121</v>
      </c>
      <c r="I35" s="8" t="s">
        <v>122</v>
      </c>
      <c r="J35" s="8"/>
    </row>
    <row r="36" customFormat="false" ht="15" hidden="false" customHeight="false" outlineLevel="0" collapsed="false">
      <c r="A36" s="26" t="n">
        <v>32</v>
      </c>
      <c r="B36" s="26" t="s">
        <v>26</v>
      </c>
      <c r="C36" s="26" t="s">
        <v>183</v>
      </c>
      <c r="D36" s="26" t="s">
        <v>53</v>
      </c>
      <c r="E36" s="9" t="s">
        <v>184</v>
      </c>
      <c r="F36" s="9" t="s">
        <v>72</v>
      </c>
      <c r="G36" s="9" t="s">
        <v>165</v>
      </c>
      <c r="H36" s="9" t="s">
        <v>126</v>
      </c>
      <c r="I36" s="9" t="s">
        <v>126</v>
      </c>
      <c r="J36" s="8"/>
    </row>
    <row r="37" customFormat="false" ht="29.85" hidden="false" customHeight="false" outlineLevel="0" collapsed="false">
      <c r="A37" s="26" t="n">
        <v>33</v>
      </c>
      <c r="B37" s="26" t="s">
        <v>26</v>
      </c>
      <c r="C37" s="26" t="s">
        <v>185</v>
      </c>
      <c r="D37" s="26" t="s">
        <v>54</v>
      </c>
      <c r="E37" s="9" t="s">
        <v>186</v>
      </c>
      <c r="F37" s="8" t="s">
        <v>129</v>
      </c>
      <c r="G37" s="9" t="s">
        <v>165</v>
      </c>
      <c r="H37" s="9" t="s">
        <v>130</v>
      </c>
      <c r="I37" s="8" t="s">
        <v>168</v>
      </c>
      <c r="J37" s="9" t="s">
        <v>169</v>
      </c>
    </row>
    <row r="38" customFormat="false" ht="15" hidden="false" customHeight="false" outlineLevel="0" collapsed="false">
      <c r="A38" s="26" t="n">
        <v>34</v>
      </c>
      <c r="B38" s="26" t="s">
        <v>26</v>
      </c>
      <c r="C38" s="26" t="s">
        <v>187</v>
      </c>
      <c r="D38" s="26" t="s">
        <v>55</v>
      </c>
      <c r="E38" s="9" t="s">
        <v>188</v>
      </c>
      <c r="F38" s="8" t="s">
        <v>134</v>
      </c>
      <c r="G38" s="9" t="s">
        <v>135</v>
      </c>
      <c r="H38" s="9" t="s">
        <v>97</v>
      </c>
      <c r="I38" s="9" t="s">
        <v>97</v>
      </c>
      <c r="J38" s="8"/>
    </row>
    <row r="39" customFormat="false" ht="15" hidden="false" customHeight="false" outlineLevel="0" collapsed="false">
      <c r="A39" s="26" t="n">
        <v>35</v>
      </c>
      <c r="B39" s="26" t="s">
        <v>26</v>
      </c>
      <c r="C39" s="26" t="s">
        <v>189</v>
      </c>
      <c r="D39" s="26" t="s">
        <v>55</v>
      </c>
      <c r="E39" s="9" t="s">
        <v>190</v>
      </c>
      <c r="F39" s="8" t="s">
        <v>174</v>
      </c>
      <c r="G39" s="9" t="s">
        <v>175</v>
      </c>
      <c r="H39" s="9" t="s">
        <v>97</v>
      </c>
      <c r="I39" s="9" t="s">
        <v>97</v>
      </c>
      <c r="J39" s="8"/>
    </row>
    <row r="40" customFormat="false" ht="29.85" hidden="false" customHeight="false" outlineLevel="0" collapsed="false">
      <c r="A40" s="26" t="n">
        <v>36</v>
      </c>
      <c r="B40" s="26" t="s">
        <v>26</v>
      </c>
      <c r="C40" s="26" t="s">
        <v>191</v>
      </c>
      <c r="D40" s="26" t="s">
        <v>56</v>
      </c>
      <c r="E40" s="9" t="s">
        <v>192</v>
      </c>
      <c r="F40" s="8" t="s">
        <v>134</v>
      </c>
      <c r="G40" s="8" t="s">
        <v>140</v>
      </c>
      <c r="H40" s="9" t="s">
        <v>178</v>
      </c>
      <c r="I40" s="8" t="s">
        <v>179</v>
      </c>
      <c r="J40" s="9" t="s">
        <v>180</v>
      </c>
    </row>
    <row r="41" customFormat="false" ht="15" hidden="false" customHeight="false" outlineLevel="0" collapsed="false">
      <c r="A41" s="26" t="n">
        <v>37</v>
      </c>
      <c r="B41" s="26" t="s">
        <v>26</v>
      </c>
      <c r="C41" s="26" t="s">
        <v>193</v>
      </c>
      <c r="D41" s="26" t="s">
        <v>53</v>
      </c>
      <c r="E41" s="9" t="s">
        <v>194</v>
      </c>
      <c r="F41" s="9" t="s">
        <v>72</v>
      </c>
      <c r="G41" s="9" t="s">
        <v>195</v>
      </c>
      <c r="H41" s="9" t="s">
        <v>159</v>
      </c>
      <c r="I41" s="9" t="s">
        <v>159</v>
      </c>
      <c r="J41" s="9" t="s">
        <v>196</v>
      </c>
    </row>
    <row r="42" customFormat="false" ht="29.85" hidden="false" customHeight="false" outlineLevel="0" collapsed="false">
      <c r="A42" s="27" t="n">
        <v>38</v>
      </c>
      <c r="B42" s="27" t="s">
        <v>31</v>
      </c>
      <c r="C42" s="27" t="s">
        <v>197</v>
      </c>
      <c r="D42" s="27" t="s">
        <v>53</v>
      </c>
      <c r="E42" s="11" t="s">
        <v>198</v>
      </c>
      <c r="F42" s="11" t="s">
        <v>72</v>
      </c>
      <c r="G42" s="11" t="s">
        <v>120</v>
      </c>
      <c r="H42" s="11" t="s">
        <v>121</v>
      </c>
      <c r="I42" s="10" t="s">
        <v>122</v>
      </c>
      <c r="J42" s="10"/>
    </row>
    <row r="43" customFormat="false" ht="15" hidden="false" customHeight="false" outlineLevel="0" collapsed="false">
      <c r="A43" s="27" t="n">
        <v>39</v>
      </c>
      <c r="B43" s="27" t="s">
        <v>31</v>
      </c>
      <c r="C43" s="27" t="s">
        <v>199</v>
      </c>
      <c r="D43" s="27" t="s">
        <v>53</v>
      </c>
      <c r="E43" s="11" t="s">
        <v>200</v>
      </c>
      <c r="F43" s="11" t="s">
        <v>72</v>
      </c>
      <c r="G43" s="11" t="s">
        <v>165</v>
      </c>
      <c r="H43" s="11" t="s">
        <v>126</v>
      </c>
      <c r="I43" s="11" t="s">
        <v>126</v>
      </c>
      <c r="J43" s="10"/>
    </row>
    <row r="44" customFormat="false" ht="29.85" hidden="false" customHeight="false" outlineLevel="0" collapsed="false">
      <c r="A44" s="27" t="n">
        <v>40</v>
      </c>
      <c r="B44" s="27" t="s">
        <v>31</v>
      </c>
      <c r="C44" s="27" t="s">
        <v>201</v>
      </c>
      <c r="D44" s="27" t="s">
        <v>54</v>
      </c>
      <c r="E44" s="11" t="s">
        <v>202</v>
      </c>
      <c r="F44" s="10" t="s">
        <v>129</v>
      </c>
      <c r="G44" s="11" t="s">
        <v>165</v>
      </c>
      <c r="H44" s="11" t="s">
        <v>130</v>
      </c>
      <c r="I44" s="10" t="s">
        <v>203</v>
      </c>
      <c r="J44" s="11" t="s">
        <v>204</v>
      </c>
    </row>
    <row r="45" customFormat="false" ht="15" hidden="false" customHeight="false" outlineLevel="0" collapsed="false">
      <c r="A45" s="27" t="n">
        <v>41</v>
      </c>
      <c r="B45" s="27" t="s">
        <v>31</v>
      </c>
      <c r="C45" s="27" t="s">
        <v>205</v>
      </c>
      <c r="D45" s="27" t="s">
        <v>55</v>
      </c>
      <c r="E45" s="11" t="s">
        <v>206</v>
      </c>
      <c r="F45" s="10" t="s">
        <v>134</v>
      </c>
      <c r="G45" s="11" t="s">
        <v>135</v>
      </c>
      <c r="H45" s="11" t="s">
        <v>97</v>
      </c>
      <c r="I45" s="11" t="s">
        <v>97</v>
      </c>
      <c r="J45" s="10"/>
    </row>
    <row r="46" customFormat="false" ht="15" hidden="false" customHeight="false" outlineLevel="0" collapsed="false">
      <c r="A46" s="27" t="n">
        <v>42</v>
      </c>
      <c r="B46" s="27" t="s">
        <v>31</v>
      </c>
      <c r="C46" s="27" t="s">
        <v>207</v>
      </c>
      <c r="D46" s="27" t="s">
        <v>55</v>
      </c>
      <c r="E46" s="11" t="s">
        <v>208</v>
      </c>
      <c r="F46" s="10" t="s">
        <v>174</v>
      </c>
      <c r="G46" s="11" t="s">
        <v>175</v>
      </c>
      <c r="H46" s="11" t="s">
        <v>97</v>
      </c>
      <c r="I46" s="11" t="s">
        <v>97</v>
      </c>
      <c r="J46" s="10"/>
    </row>
    <row r="47" customFormat="false" ht="15" hidden="false" customHeight="false" outlineLevel="0" collapsed="false">
      <c r="A47" s="27" t="n">
        <v>43</v>
      </c>
      <c r="B47" s="27" t="s">
        <v>31</v>
      </c>
      <c r="C47" s="27" t="s">
        <v>209</v>
      </c>
      <c r="D47" s="27" t="s">
        <v>56</v>
      </c>
      <c r="E47" s="11" t="s">
        <v>210</v>
      </c>
      <c r="F47" s="10" t="s">
        <v>134</v>
      </c>
      <c r="G47" s="10" t="s">
        <v>140</v>
      </c>
      <c r="H47" s="11" t="s">
        <v>178</v>
      </c>
      <c r="I47" s="10" t="s">
        <v>211</v>
      </c>
      <c r="J47" s="10"/>
    </row>
    <row r="48" customFormat="false" ht="29.85" hidden="false" customHeight="false" outlineLevel="0" collapsed="false">
      <c r="A48" s="27" t="n">
        <v>44</v>
      </c>
      <c r="B48" s="27" t="s">
        <v>31</v>
      </c>
      <c r="C48" s="27" t="s">
        <v>212</v>
      </c>
      <c r="D48" s="27" t="s">
        <v>53</v>
      </c>
      <c r="E48" s="11" t="s">
        <v>213</v>
      </c>
      <c r="F48" s="11" t="s">
        <v>72</v>
      </c>
      <c r="G48" s="11" t="s">
        <v>120</v>
      </c>
      <c r="H48" s="11" t="s">
        <v>121</v>
      </c>
      <c r="I48" s="10" t="s">
        <v>122</v>
      </c>
      <c r="J48" s="10"/>
    </row>
    <row r="49" customFormat="false" ht="15" hidden="false" customHeight="false" outlineLevel="0" collapsed="false">
      <c r="A49" s="27" t="n">
        <v>45</v>
      </c>
      <c r="B49" s="27" t="s">
        <v>31</v>
      </c>
      <c r="C49" s="27" t="s">
        <v>214</v>
      </c>
      <c r="D49" s="27" t="s">
        <v>53</v>
      </c>
      <c r="E49" s="11" t="s">
        <v>215</v>
      </c>
      <c r="F49" s="11" t="s">
        <v>72</v>
      </c>
      <c r="G49" s="11" t="s">
        <v>165</v>
      </c>
      <c r="H49" s="11" t="s">
        <v>126</v>
      </c>
      <c r="I49" s="11" t="s">
        <v>126</v>
      </c>
      <c r="J49" s="10"/>
    </row>
    <row r="50" customFormat="false" ht="29.85" hidden="false" customHeight="false" outlineLevel="0" collapsed="false">
      <c r="A50" s="27" t="n">
        <v>46</v>
      </c>
      <c r="B50" s="27" t="s">
        <v>31</v>
      </c>
      <c r="C50" s="27" t="s">
        <v>216</v>
      </c>
      <c r="D50" s="27" t="s">
        <v>54</v>
      </c>
      <c r="E50" s="11" t="s">
        <v>217</v>
      </c>
      <c r="F50" s="10" t="s">
        <v>129</v>
      </c>
      <c r="G50" s="11" t="s">
        <v>165</v>
      </c>
      <c r="H50" s="11" t="s">
        <v>130</v>
      </c>
      <c r="I50" s="10" t="s">
        <v>203</v>
      </c>
      <c r="J50" s="11" t="s">
        <v>204</v>
      </c>
    </row>
    <row r="51" customFormat="false" ht="15" hidden="false" customHeight="false" outlineLevel="0" collapsed="false">
      <c r="A51" s="27" t="n">
        <v>47</v>
      </c>
      <c r="B51" s="27" t="s">
        <v>31</v>
      </c>
      <c r="C51" s="27" t="s">
        <v>218</v>
      </c>
      <c r="D51" s="27" t="s">
        <v>55</v>
      </c>
      <c r="E51" s="11" t="s">
        <v>219</v>
      </c>
      <c r="F51" s="10" t="s">
        <v>134</v>
      </c>
      <c r="G51" s="11" t="s">
        <v>135</v>
      </c>
      <c r="H51" s="11" t="s">
        <v>97</v>
      </c>
      <c r="I51" s="11" t="s">
        <v>97</v>
      </c>
      <c r="J51" s="10"/>
    </row>
    <row r="52" customFormat="false" ht="15" hidden="false" customHeight="false" outlineLevel="0" collapsed="false">
      <c r="A52" s="27" t="n">
        <v>48</v>
      </c>
      <c r="B52" s="27" t="s">
        <v>31</v>
      </c>
      <c r="C52" s="27" t="s">
        <v>220</v>
      </c>
      <c r="D52" s="27" t="s">
        <v>55</v>
      </c>
      <c r="E52" s="11" t="s">
        <v>221</v>
      </c>
      <c r="F52" s="10" t="s">
        <v>174</v>
      </c>
      <c r="G52" s="11" t="s">
        <v>175</v>
      </c>
      <c r="H52" s="11" t="s">
        <v>97</v>
      </c>
      <c r="I52" s="11" t="s">
        <v>97</v>
      </c>
      <c r="J52" s="10"/>
    </row>
    <row r="53" customFormat="false" ht="15" hidden="false" customHeight="false" outlineLevel="0" collapsed="false">
      <c r="A53" s="27" t="n">
        <v>49</v>
      </c>
      <c r="B53" s="27" t="s">
        <v>31</v>
      </c>
      <c r="C53" s="27" t="s">
        <v>222</v>
      </c>
      <c r="D53" s="27" t="s">
        <v>56</v>
      </c>
      <c r="E53" s="11" t="s">
        <v>223</v>
      </c>
      <c r="F53" s="10" t="s">
        <v>134</v>
      </c>
      <c r="G53" s="10" t="s">
        <v>140</v>
      </c>
      <c r="H53" s="11" t="s">
        <v>178</v>
      </c>
      <c r="I53" s="10" t="s">
        <v>211</v>
      </c>
      <c r="J53" s="10"/>
    </row>
    <row r="54" customFormat="false" ht="15" hidden="false" customHeight="false" outlineLevel="0" collapsed="false">
      <c r="A54" s="27" t="n">
        <v>50</v>
      </c>
      <c r="B54" s="27" t="s">
        <v>31</v>
      </c>
      <c r="C54" s="27" t="s">
        <v>224</v>
      </c>
      <c r="D54" s="27" t="s">
        <v>53</v>
      </c>
      <c r="E54" s="11" t="s">
        <v>225</v>
      </c>
      <c r="F54" s="11" t="s">
        <v>72</v>
      </c>
      <c r="G54" s="11" t="s">
        <v>195</v>
      </c>
      <c r="H54" s="11" t="s">
        <v>159</v>
      </c>
      <c r="I54" s="11" t="s">
        <v>159</v>
      </c>
      <c r="J54" s="11" t="s">
        <v>196</v>
      </c>
    </row>
    <row r="55" customFormat="false" ht="15" hidden="false" customHeight="false" outlineLevel="0" collapsed="false">
      <c r="A55" s="28" t="n">
        <v>51</v>
      </c>
      <c r="B55" s="28" t="s">
        <v>36</v>
      </c>
      <c r="C55" s="28" t="s">
        <v>226</v>
      </c>
      <c r="D55" s="28" t="s">
        <v>53</v>
      </c>
      <c r="E55" s="13" t="s">
        <v>227</v>
      </c>
      <c r="F55" s="13" t="s">
        <v>228</v>
      </c>
      <c r="G55" s="13" t="s">
        <v>229</v>
      </c>
      <c r="H55" s="13" t="s">
        <v>230</v>
      </c>
      <c r="I55" s="13" t="s">
        <v>230</v>
      </c>
      <c r="J55" s="13" t="s">
        <v>231</v>
      </c>
    </row>
    <row r="56" customFormat="false" ht="29.85" hidden="false" customHeight="false" outlineLevel="0" collapsed="false">
      <c r="A56" s="28" t="n">
        <v>52</v>
      </c>
      <c r="B56" s="28" t="s">
        <v>36</v>
      </c>
      <c r="C56" s="28" t="s">
        <v>232</v>
      </c>
      <c r="D56" s="28" t="s">
        <v>53</v>
      </c>
      <c r="E56" s="13" t="s">
        <v>233</v>
      </c>
      <c r="F56" s="13" t="s">
        <v>234</v>
      </c>
      <c r="G56" s="13" t="s">
        <v>235</v>
      </c>
      <c r="H56" s="13" t="s">
        <v>97</v>
      </c>
      <c r="I56" s="13" t="s">
        <v>97</v>
      </c>
      <c r="J56" s="13" t="s">
        <v>236</v>
      </c>
    </row>
    <row r="57" customFormat="false" ht="15" hidden="false" customHeight="false" outlineLevel="0" collapsed="false">
      <c r="A57" s="28" t="n">
        <v>53</v>
      </c>
      <c r="B57" s="28" t="s">
        <v>36</v>
      </c>
      <c r="C57" s="28" t="s">
        <v>237</v>
      </c>
      <c r="D57" s="28" t="s">
        <v>53</v>
      </c>
      <c r="E57" s="13" t="s">
        <v>238</v>
      </c>
      <c r="F57" s="13" t="s">
        <v>72</v>
      </c>
      <c r="G57" s="13" t="s">
        <v>239</v>
      </c>
      <c r="H57" s="13" t="s">
        <v>240</v>
      </c>
      <c r="I57" s="13" t="s">
        <v>241</v>
      </c>
      <c r="J57" s="12"/>
    </row>
    <row r="58" customFormat="false" ht="15" hidden="false" customHeight="false" outlineLevel="0" collapsed="false">
      <c r="A58" s="28" t="n">
        <v>54</v>
      </c>
      <c r="B58" s="28" t="s">
        <v>36</v>
      </c>
      <c r="C58" s="28" t="s">
        <v>242</v>
      </c>
      <c r="D58" s="28" t="s">
        <v>54</v>
      </c>
      <c r="E58" s="13" t="s">
        <v>243</v>
      </c>
      <c r="F58" s="12" t="s">
        <v>244</v>
      </c>
      <c r="G58" s="13" t="s">
        <v>245</v>
      </c>
      <c r="H58" s="13" t="s">
        <v>246</v>
      </c>
      <c r="I58" s="13" t="s">
        <v>247</v>
      </c>
      <c r="J58" s="13" t="s">
        <v>248</v>
      </c>
    </row>
    <row r="59" customFormat="false" ht="15" hidden="false" customHeight="false" outlineLevel="0" collapsed="false">
      <c r="A59" s="28" t="n">
        <v>55</v>
      </c>
      <c r="B59" s="28" t="s">
        <v>36</v>
      </c>
      <c r="C59" s="28" t="s">
        <v>249</v>
      </c>
      <c r="D59" s="28" t="s">
        <v>54</v>
      </c>
      <c r="E59" s="13" t="s">
        <v>250</v>
      </c>
      <c r="F59" s="12" t="s">
        <v>244</v>
      </c>
      <c r="G59" s="13" t="s">
        <v>251</v>
      </c>
      <c r="H59" s="13" t="s">
        <v>252</v>
      </c>
      <c r="I59" s="13" t="s">
        <v>253</v>
      </c>
      <c r="J59" s="12"/>
    </row>
    <row r="60" customFormat="false" ht="15" hidden="false" customHeight="false" outlineLevel="0" collapsed="false">
      <c r="A60" s="28" t="n">
        <v>56</v>
      </c>
      <c r="B60" s="28" t="s">
        <v>36</v>
      </c>
      <c r="C60" s="28" t="s">
        <v>254</v>
      </c>
      <c r="D60" s="28" t="s">
        <v>55</v>
      </c>
      <c r="E60" s="13" t="s">
        <v>255</v>
      </c>
      <c r="F60" s="12" t="s">
        <v>256</v>
      </c>
      <c r="G60" s="13" t="s">
        <v>257</v>
      </c>
      <c r="H60" s="13" t="s">
        <v>97</v>
      </c>
      <c r="I60" s="13" t="s">
        <v>97</v>
      </c>
      <c r="J60" s="13" t="s">
        <v>258</v>
      </c>
    </row>
    <row r="61" customFormat="false" ht="15" hidden="false" customHeight="false" outlineLevel="0" collapsed="false">
      <c r="A61" s="28" t="n">
        <v>57</v>
      </c>
      <c r="B61" s="28" t="s">
        <v>36</v>
      </c>
      <c r="C61" s="28" t="s">
        <v>259</v>
      </c>
      <c r="D61" s="28" t="s">
        <v>55</v>
      </c>
      <c r="E61" s="13" t="s">
        <v>260</v>
      </c>
      <c r="F61" s="12" t="s">
        <v>256</v>
      </c>
      <c r="G61" s="13" t="s">
        <v>261</v>
      </c>
      <c r="H61" s="13" t="s">
        <v>97</v>
      </c>
      <c r="I61" s="13" t="s">
        <v>97</v>
      </c>
      <c r="J61" s="13" t="s">
        <v>262</v>
      </c>
    </row>
    <row r="62" customFormat="false" ht="29.85" hidden="false" customHeight="false" outlineLevel="0" collapsed="false">
      <c r="A62" s="29" t="n">
        <v>58</v>
      </c>
      <c r="B62" s="29" t="s">
        <v>44</v>
      </c>
      <c r="C62" s="29" t="s">
        <v>263</v>
      </c>
      <c r="D62" s="30" t="s">
        <v>57</v>
      </c>
      <c r="E62" s="15" t="s">
        <v>264</v>
      </c>
      <c r="F62" s="14" t="s">
        <v>265</v>
      </c>
      <c r="G62" s="14" t="s">
        <v>266</v>
      </c>
      <c r="H62" s="15" t="s">
        <v>267</v>
      </c>
      <c r="I62" s="14" t="s">
        <v>268</v>
      </c>
      <c r="J62" s="15" t="s">
        <v>269</v>
      </c>
    </row>
    <row r="63" customFormat="false" ht="29.85" hidden="false" customHeight="false" outlineLevel="0" collapsed="false">
      <c r="A63" s="29" t="n">
        <v>59</v>
      </c>
      <c r="B63" s="29" t="s">
        <v>44</v>
      </c>
      <c r="C63" s="29" t="s">
        <v>270</v>
      </c>
      <c r="D63" s="30" t="s">
        <v>57</v>
      </c>
      <c r="E63" s="15" t="s">
        <v>271</v>
      </c>
      <c r="F63" s="14" t="s">
        <v>265</v>
      </c>
      <c r="G63" s="14" t="s">
        <v>266</v>
      </c>
      <c r="H63" s="14" t="s">
        <v>115</v>
      </c>
      <c r="I63" s="15" t="s">
        <v>272</v>
      </c>
      <c r="J63" s="15" t="s">
        <v>273</v>
      </c>
    </row>
    <row r="64" customFormat="false" ht="15" hidden="false" customHeight="false" outlineLevel="0" collapsed="false">
      <c r="A64" s="29" t="n">
        <v>60</v>
      </c>
      <c r="B64" s="29" t="s">
        <v>44</v>
      </c>
      <c r="C64" s="29" t="s">
        <v>274</v>
      </c>
      <c r="D64" s="30" t="s">
        <v>57</v>
      </c>
      <c r="E64" s="15" t="s">
        <v>275</v>
      </c>
      <c r="F64" s="15" t="s">
        <v>276</v>
      </c>
      <c r="G64" s="14" t="s">
        <v>277</v>
      </c>
      <c r="H64" s="14" t="s">
        <v>115</v>
      </c>
      <c r="I64" s="15" t="s">
        <v>278</v>
      </c>
      <c r="J64" s="15" t="s">
        <v>279</v>
      </c>
    </row>
  </sheetData>
  <autoFilter ref="A4:J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2026-09-10T10:52:42Z</dcterms:created>
  <dc:creator>openpyxl</dc:creator>
  <dc:description/>
  <dc:language>en-US</dc:language>
  <cp:lastModifiedBy/>
  <dcterms:modified xsi:type="dcterms:W3CDTF">2026-09-10T10:52:42Z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